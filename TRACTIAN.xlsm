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fb704d003e5b38c/Projetos/tractian-challenge/"/>
    </mc:Choice>
  </mc:AlternateContent>
  <xr:revisionPtr revIDLastSave="12" documentId="13_ncr:1_{D882F458-E3E7-8747-9F8E-3F25793AC859}" xr6:coauthVersionLast="47" xr6:coauthVersionMax="47" xr10:uidLastSave="{AE87C674-7AAA-CB49-8774-DE3612311002}"/>
  <bookViews>
    <workbookView xWindow="0" yWindow="500" windowWidth="38400" windowHeight="19340" xr2:uid="{7FFE83BE-FAE4-B941-845C-86BC7CACA623}"/>
  </bookViews>
  <sheets>
    <sheet name="DATABASE" sheetId="1" r:id="rId1"/>
    <sheet name="OVERVIEW" sheetId="2" r:id="rId2"/>
  </sheets>
  <definedNames>
    <definedName name="SegmentaçãodeDados_Batch">#N/A</definedName>
  </definedNames>
  <calcPr calcId="191029"/>
  <pivotCaches>
    <pivotCache cacheId="10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12" i="1" l="1"/>
  <c r="T4" i="1"/>
  <c r="T10" i="1"/>
  <c r="T9" i="1"/>
  <c r="T11" i="1"/>
  <c r="T5" i="1"/>
  <c r="T6" i="1"/>
  <c r="T7" i="1"/>
  <c r="T3" i="1"/>
  <c r="T8" i="1"/>
  <c r="T21" i="1"/>
  <c r="T13" i="1"/>
  <c r="T16" i="1"/>
  <c r="T15" i="1"/>
  <c r="T19" i="1"/>
  <c r="T22" i="1"/>
  <c r="T18" i="1"/>
  <c r="T20" i="1"/>
  <c r="T17" i="1"/>
  <c r="T14" i="1"/>
  <c r="T31" i="1"/>
  <c r="T28" i="1"/>
  <c r="T32" i="1"/>
  <c r="T25" i="1"/>
  <c r="T27" i="1"/>
  <c r="T26" i="1"/>
  <c r="T24" i="1"/>
  <c r="T29" i="1"/>
  <c r="T23" i="1"/>
  <c r="T30" i="1"/>
  <c r="T34" i="1"/>
  <c r="T42" i="1"/>
  <c r="T40" i="1"/>
  <c r="T41" i="1"/>
  <c r="T37" i="1"/>
  <c r="T38" i="1"/>
  <c r="T36" i="1"/>
  <c r="T39" i="1"/>
  <c r="T33" i="1"/>
  <c r="T35" i="1"/>
  <c r="T43" i="1"/>
  <c r="T44" i="1"/>
  <c r="T46" i="1"/>
  <c r="T48" i="1"/>
  <c r="T49" i="1"/>
  <c r="T45" i="1"/>
  <c r="T50" i="1"/>
  <c r="T47" i="1"/>
  <c r="T51" i="1"/>
  <c r="T52" i="1"/>
  <c r="T53" i="1"/>
  <c r="T54" i="1"/>
  <c r="T56" i="1"/>
  <c r="T58" i="1"/>
  <c r="T59" i="1"/>
  <c r="T60" i="1"/>
  <c r="T61" i="1"/>
  <c r="T57" i="1"/>
  <c r="T55" i="1"/>
  <c r="T62" i="1"/>
  <c r="T63" i="1"/>
  <c r="T64" i="1"/>
  <c r="T65" i="1"/>
  <c r="T66" i="1"/>
  <c r="T68" i="1"/>
  <c r="T71" i="1"/>
  <c r="T72" i="1"/>
  <c r="T70" i="1"/>
  <c r="T67" i="1"/>
  <c r="T69" i="1"/>
  <c r="T73" i="1"/>
  <c r="T74" i="1"/>
  <c r="T76" i="1"/>
  <c r="T75" i="1"/>
  <c r="T77" i="1"/>
  <c r="T86" i="1"/>
  <c r="T83" i="1"/>
  <c r="T84" i="1"/>
  <c r="T82" i="1"/>
  <c r="T79" i="1"/>
  <c r="T88" i="1"/>
  <c r="T80" i="1"/>
  <c r="T85" i="1"/>
  <c r="T81" i="1"/>
  <c r="T87" i="1"/>
  <c r="T78" i="1"/>
  <c r="T92" i="1"/>
  <c r="T93" i="1"/>
  <c r="T91" i="1"/>
  <c r="T89" i="1"/>
  <c r="T94" i="1"/>
  <c r="T90" i="1"/>
  <c r="T96" i="1"/>
  <c r="T98" i="1"/>
  <c r="T97" i="1"/>
  <c r="T100" i="1"/>
  <c r="T95" i="1"/>
  <c r="T99" i="1"/>
  <c r="T101" i="1"/>
  <c r="T102" i="1"/>
  <c r="P12" i="1"/>
  <c r="P4" i="1"/>
  <c r="P10" i="1"/>
  <c r="P9" i="1"/>
  <c r="P11" i="1"/>
  <c r="P5" i="1"/>
  <c r="P6" i="1"/>
  <c r="P7" i="1"/>
  <c r="P3" i="1"/>
  <c r="P8" i="1"/>
  <c r="P21" i="1"/>
  <c r="P13" i="1"/>
  <c r="P16" i="1"/>
  <c r="P15" i="1"/>
  <c r="P19" i="1"/>
  <c r="P22" i="1"/>
  <c r="P18" i="1"/>
  <c r="P20" i="1"/>
  <c r="P17" i="1"/>
  <c r="P14" i="1"/>
  <c r="P31" i="1"/>
  <c r="P28" i="1"/>
  <c r="P32" i="1"/>
  <c r="P25" i="1"/>
  <c r="P27" i="1"/>
  <c r="P26" i="1"/>
  <c r="P24" i="1"/>
  <c r="P29" i="1"/>
  <c r="P23" i="1"/>
  <c r="P30" i="1"/>
  <c r="P34" i="1"/>
  <c r="P42" i="1"/>
  <c r="P40" i="1"/>
  <c r="P41" i="1"/>
  <c r="P37" i="1"/>
  <c r="P38" i="1"/>
  <c r="P36" i="1"/>
  <c r="P39" i="1"/>
  <c r="P33" i="1"/>
  <c r="P35" i="1"/>
  <c r="P43" i="1"/>
  <c r="P44" i="1"/>
  <c r="P46" i="1"/>
  <c r="P48" i="1"/>
  <c r="P49" i="1"/>
  <c r="P45" i="1"/>
  <c r="P50" i="1"/>
  <c r="P47" i="1"/>
  <c r="P51" i="1"/>
  <c r="P52" i="1"/>
  <c r="P53" i="1"/>
  <c r="P54" i="1"/>
  <c r="P56" i="1"/>
  <c r="P58" i="1"/>
  <c r="P59" i="1"/>
  <c r="P60" i="1"/>
  <c r="P61" i="1"/>
  <c r="P57" i="1"/>
  <c r="P55" i="1"/>
  <c r="P62" i="1"/>
  <c r="P63" i="1"/>
  <c r="P64" i="1"/>
  <c r="P65" i="1"/>
  <c r="P66" i="1"/>
  <c r="P68" i="1"/>
  <c r="P71" i="1"/>
  <c r="P72" i="1"/>
  <c r="P70" i="1"/>
  <c r="P67" i="1"/>
  <c r="P69" i="1"/>
  <c r="P73" i="1"/>
  <c r="P74" i="1"/>
  <c r="P76" i="1"/>
  <c r="P75" i="1"/>
  <c r="P77" i="1"/>
  <c r="P86" i="1"/>
  <c r="P83" i="1"/>
  <c r="P84" i="1"/>
  <c r="P82" i="1"/>
  <c r="P79" i="1"/>
  <c r="P88" i="1"/>
  <c r="P80" i="1"/>
  <c r="P85" i="1"/>
  <c r="P81" i="1"/>
  <c r="P87" i="1"/>
  <c r="P78" i="1"/>
  <c r="P92" i="1"/>
  <c r="P93" i="1"/>
  <c r="P91" i="1"/>
  <c r="P89" i="1"/>
  <c r="P94" i="1"/>
  <c r="P90" i="1"/>
  <c r="P96" i="1"/>
  <c r="P98" i="1"/>
  <c r="P97" i="1"/>
  <c r="P100" i="1"/>
  <c r="P95" i="1"/>
  <c r="P99" i="1"/>
  <c r="P101" i="1"/>
  <c r="P102" i="1"/>
  <c r="L12" i="1"/>
  <c r="L4" i="1"/>
  <c r="L10" i="1"/>
  <c r="L9" i="1"/>
  <c r="L11" i="1"/>
  <c r="L5" i="1"/>
  <c r="L6" i="1"/>
  <c r="L7" i="1"/>
  <c r="L3" i="1"/>
  <c r="L8" i="1"/>
  <c r="L21" i="1"/>
  <c r="L13" i="1"/>
  <c r="L16" i="1"/>
  <c r="L15" i="1"/>
  <c r="L19" i="1"/>
  <c r="L22" i="1"/>
  <c r="L18" i="1"/>
  <c r="L20" i="1"/>
  <c r="L17" i="1"/>
  <c r="L14" i="1"/>
  <c r="L31" i="1"/>
  <c r="L28" i="1"/>
  <c r="L32" i="1"/>
  <c r="L25" i="1"/>
  <c r="L27" i="1"/>
  <c r="L26" i="1"/>
  <c r="L24" i="1"/>
  <c r="L29" i="1"/>
  <c r="L23" i="1"/>
  <c r="L30" i="1"/>
  <c r="L34" i="1"/>
  <c r="L42" i="1"/>
  <c r="L40" i="1"/>
  <c r="L41" i="1"/>
  <c r="L37" i="1"/>
  <c r="L38" i="1"/>
  <c r="L36" i="1"/>
  <c r="L39" i="1"/>
  <c r="L33" i="1"/>
  <c r="L35" i="1"/>
  <c r="L43" i="1"/>
  <c r="L44" i="1"/>
  <c r="L46" i="1"/>
  <c r="L48" i="1"/>
  <c r="L49" i="1"/>
  <c r="L45" i="1"/>
  <c r="L50" i="1"/>
  <c r="L47" i="1"/>
  <c r="L51" i="1"/>
  <c r="L52" i="1"/>
  <c r="L53" i="1"/>
  <c r="L54" i="1"/>
  <c r="L56" i="1"/>
  <c r="L58" i="1"/>
  <c r="L59" i="1"/>
  <c r="L60" i="1"/>
  <c r="L61" i="1"/>
  <c r="L57" i="1"/>
  <c r="L55" i="1"/>
  <c r="L62" i="1"/>
  <c r="L63" i="1"/>
  <c r="L64" i="1"/>
  <c r="L65" i="1"/>
  <c r="L66" i="1"/>
  <c r="L68" i="1"/>
  <c r="L71" i="1"/>
  <c r="L72" i="1"/>
  <c r="L70" i="1"/>
  <c r="L67" i="1"/>
  <c r="L69" i="1"/>
  <c r="L73" i="1"/>
  <c r="L74" i="1"/>
  <c r="L76" i="1"/>
  <c r="L75" i="1"/>
  <c r="L77" i="1"/>
  <c r="L86" i="1"/>
  <c r="L83" i="1"/>
  <c r="L84" i="1"/>
  <c r="L82" i="1"/>
  <c r="L79" i="1"/>
  <c r="L88" i="1"/>
  <c r="L80" i="1"/>
  <c r="L85" i="1"/>
  <c r="L81" i="1"/>
  <c r="L87" i="1"/>
  <c r="L78" i="1"/>
  <c r="L92" i="1"/>
  <c r="L93" i="1"/>
  <c r="L91" i="1"/>
  <c r="L89" i="1"/>
  <c r="L94" i="1"/>
  <c r="L90" i="1"/>
  <c r="L96" i="1"/>
  <c r="L98" i="1"/>
  <c r="L97" i="1"/>
  <c r="L100" i="1"/>
  <c r="L95" i="1"/>
  <c r="L99" i="1"/>
  <c r="L101" i="1"/>
  <c r="L102" i="1"/>
  <c r="H12" i="1"/>
  <c r="H4" i="1"/>
  <c r="H10" i="1"/>
  <c r="H9" i="1"/>
  <c r="H11" i="1"/>
  <c r="H5" i="1"/>
  <c r="H6" i="1"/>
  <c r="H7" i="1"/>
  <c r="H3" i="1"/>
  <c r="H8" i="1"/>
  <c r="H21" i="1"/>
  <c r="H13" i="1"/>
  <c r="H16" i="1"/>
  <c r="H15" i="1"/>
  <c r="H19" i="1"/>
  <c r="H22" i="1"/>
  <c r="H18" i="1"/>
  <c r="H20" i="1"/>
  <c r="H17" i="1"/>
  <c r="H14" i="1"/>
  <c r="H31" i="1"/>
  <c r="H28" i="1"/>
  <c r="H32" i="1"/>
  <c r="H25" i="1"/>
  <c r="H27" i="1"/>
  <c r="H26" i="1"/>
  <c r="H24" i="1"/>
  <c r="H29" i="1"/>
  <c r="H23" i="1"/>
  <c r="H30" i="1"/>
  <c r="H34" i="1"/>
  <c r="H42" i="1"/>
  <c r="H40" i="1"/>
  <c r="H41" i="1"/>
  <c r="H37" i="1"/>
  <c r="H38" i="1"/>
  <c r="H36" i="1"/>
  <c r="H39" i="1"/>
  <c r="H33" i="1"/>
  <c r="H35" i="1"/>
  <c r="H43" i="1"/>
  <c r="H44" i="1"/>
  <c r="H46" i="1"/>
  <c r="H48" i="1"/>
  <c r="H49" i="1"/>
  <c r="H45" i="1"/>
  <c r="H50" i="1"/>
  <c r="H47" i="1"/>
  <c r="H51" i="1"/>
  <c r="H52" i="1"/>
  <c r="H53" i="1"/>
  <c r="H54" i="1"/>
  <c r="H56" i="1"/>
  <c r="H58" i="1"/>
  <c r="H59" i="1"/>
  <c r="H60" i="1"/>
  <c r="H61" i="1"/>
  <c r="H57" i="1"/>
  <c r="H55" i="1"/>
  <c r="H62" i="1"/>
  <c r="H63" i="1"/>
  <c r="H64" i="1"/>
  <c r="H65" i="1"/>
  <c r="H66" i="1"/>
  <c r="H68" i="1"/>
  <c r="H71" i="1"/>
  <c r="H72" i="1"/>
  <c r="H70" i="1"/>
  <c r="H67" i="1"/>
  <c r="H69" i="1"/>
  <c r="H73" i="1"/>
  <c r="H74" i="1"/>
  <c r="H76" i="1"/>
  <c r="H75" i="1"/>
  <c r="H77" i="1"/>
  <c r="H86" i="1"/>
  <c r="H83" i="1"/>
  <c r="H84" i="1"/>
  <c r="H82" i="1"/>
  <c r="H79" i="1"/>
  <c r="H88" i="1"/>
  <c r="H80" i="1"/>
  <c r="H85" i="1"/>
  <c r="H81" i="1"/>
  <c r="H87" i="1"/>
  <c r="H78" i="1"/>
  <c r="H92" i="1"/>
  <c r="H93" i="1"/>
  <c r="H91" i="1"/>
  <c r="H89" i="1"/>
  <c r="H94" i="1"/>
  <c r="H90" i="1"/>
  <c r="H96" i="1"/>
  <c r="H98" i="1"/>
  <c r="H97" i="1"/>
  <c r="H100" i="1"/>
  <c r="H95" i="1"/>
  <c r="H99" i="1"/>
  <c r="H101" i="1"/>
  <c r="H102" i="1"/>
  <c r="E87" i="1"/>
  <c r="E12" i="1"/>
  <c r="E4" i="1"/>
  <c r="E10" i="1"/>
  <c r="E9" i="1"/>
  <c r="E11" i="1"/>
  <c r="E5" i="1"/>
  <c r="E6" i="1"/>
  <c r="E7" i="1"/>
  <c r="E3" i="1"/>
  <c r="E8" i="1"/>
  <c r="E21" i="1"/>
  <c r="E13" i="1"/>
  <c r="E16" i="1"/>
  <c r="E15" i="1"/>
  <c r="E19" i="1"/>
  <c r="E22" i="1"/>
  <c r="E18" i="1"/>
  <c r="E20" i="1"/>
  <c r="E17" i="1"/>
  <c r="E14" i="1"/>
  <c r="E31" i="1"/>
  <c r="E28" i="1"/>
  <c r="E32" i="1"/>
  <c r="E25" i="1"/>
  <c r="E27" i="1"/>
  <c r="E26" i="1"/>
  <c r="E24" i="1"/>
  <c r="E29" i="1"/>
  <c r="E23" i="1"/>
  <c r="E30" i="1"/>
  <c r="E34" i="1"/>
  <c r="E42" i="1"/>
  <c r="E40" i="1"/>
  <c r="E41" i="1"/>
  <c r="E37" i="1"/>
  <c r="E38" i="1"/>
  <c r="E36" i="1"/>
  <c r="E39" i="1"/>
  <c r="E33" i="1"/>
  <c r="E35" i="1"/>
  <c r="E43" i="1"/>
  <c r="E44" i="1"/>
  <c r="E46" i="1"/>
  <c r="E48" i="1"/>
  <c r="E49" i="1"/>
  <c r="E45" i="1"/>
  <c r="E50" i="1"/>
  <c r="E47" i="1"/>
  <c r="E51" i="1"/>
  <c r="E52" i="1"/>
  <c r="E53" i="1"/>
  <c r="E54" i="1"/>
  <c r="E56" i="1"/>
  <c r="E58" i="1"/>
  <c r="E59" i="1"/>
  <c r="E60" i="1"/>
  <c r="E61" i="1"/>
  <c r="E57" i="1"/>
  <c r="E55" i="1"/>
  <c r="E64" i="1"/>
  <c r="E62" i="1"/>
  <c r="E63" i="1"/>
  <c r="E65" i="1"/>
  <c r="E66" i="1"/>
  <c r="E74" i="1"/>
  <c r="E68" i="1"/>
  <c r="E71" i="1"/>
  <c r="E72" i="1"/>
  <c r="E70" i="1"/>
  <c r="E67" i="1"/>
  <c r="E69" i="1"/>
  <c r="E73" i="1"/>
  <c r="E86" i="1"/>
  <c r="E83" i="1"/>
  <c r="E84" i="1"/>
  <c r="E82" i="1"/>
  <c r="E79" i="1"/>
  <c r="E88" i="1"/>
  <c r="E80" i="1"/>
  <c r="E85" i="1"/>
  <c r="E81" i="1"/>
  <c r="E78" i="1"/>
  <c r="E92" i="1"/>
  <c r="E93" i="1"/>
  <c r="E91" i="1"/>
  <c r="E89" i="1"/>
  <c r="E94" i="1"/>
  <c r="E90" i="1"/>
  <c r="E96" i="1"/>
  <c r="E98" i="1"/>
  <c r="E97" i="1"/>
  <c r="E100" i="1"/>
  <c r="E95" i="1"/>
  <c r="E99" i="1"/>
  <c r="E101" i="1"/>
  <c r="E102" i="1"/>
  <c r="E76" i="1"/>
  <c r="E75" i="1"/>
  <c r="E77" i="1"/>
  <c r="D12" i="1"/>
  <c r="D4" i="1"/>
  <c r="D10" i="1"/>
  <c r="D9" i="1"/>
  <c r="D11" i="1"/>
  <c r="D5" i="1"/>
  <c r="D6" i="1"/>
  <c r="D7" i="1"/>
  <c r="D3" i="1"/>
  <c r="D8" i="1"/>
  <c r="D21" i="1"/>
  <c r="D13" i="1"/>
  <c r="D16" i="1"/>
  <c r="D15" i="1"/>
  <c r="D19" i="1"/>
  <c r="D22" i="1"/>
  <c r="D18" i="1"/>
  <c r="D20" i="1"/>
  <c r="D17" i="1"/>
  <c r="D14" i="1"/>
  <c r="D31" i="1"/>
  <c r="D28" i="1"/>
  <c r="D32" i="1"/>
  <c r="D25" i="1"/>
  <c r="D27" i="1"/>
  <c r="D26" i="1"/>
  <c r="D24" i="1"/>
  <c r="D29" i="1"/>
  <c r="D23" i="1"/>
  <c r="D30" i="1"/>
  <c r="D34" i="1"/>
  <c r="D42" i="1"/>
  <c r="D40" i="1"/>
  <c r="D41" i="1"/>
  <c r="D37" i="1"/>
  <c r="D38" i="1"/>
  <c r="D36" i="1"/>
  <c r="D39" i="1"/>
  <c r="D33" i="1"/>
  <c r="D35" i="1"/>
  <c r="D76" i="1"/>
  <c r="D75" i="1"/>
  <c r="D77" i="1"/>
  <c r="D74" i="1"/>
  <c r="D68" i="1"/>
  <c r="D71" i="1"/>
  <c r="D72" i="1"/>
  <c r="D70" i="1"/>
  <c r="D67" i="1"/>
  <c r="D69" i="1"/>
  <c r="D73" i="1"/>
  <c r="D63" i="1"/>
  <c r="D56" i="1"/>
  <c r="D58" i="1"/>
  <c r="D59" i="1"/>
  <c r="D60" i="1"/>
  <c r="D61" i="1"/>
  <c r="D57" i="1"/>
  <c r="D55" i="1"/>
  <c r="D44" i="1"/>
  <c r="D46" i="1"/>
  <c r="D48" i="1"/>
  <c r="D49" i="1"/>
  <c r="D45" i="1"/>
  <c r="D50" i="1"/>
  <c r="D47" i="1"/>
  <c r="D51" i="1"/>
  <c r="D52" i="1"/>
  <c r="D53" i="1"/>
  <c r="D54" i="1"/>
  <c r="D86" i="1"/>
  <c r="D83" i="1"/>
  <c r="D84" i="1"/>
  <c r="D82" i="1"/>
  <c r="D80" i="1"/>
  <c r="D79" i="1"/>
  <c r="D85" i="1"/>
  <c r="D81" i="1"/>
  <c r="D87" i="1"/>
  <c r="D78" i="1"/>
  <c r="D43" i="1"/>
  <c r="D88" i="1"/>
  <c r="D92" i="1"/>
  <c r="D65" i="1"/>
  <c r="D91" i="1"/>
  <c r="D89" i="1"/>
  <c r="D94" i="1"/>
  <c r="D93" i="1"/>
  <c r="D90" i="1"/>
  <c r="D64" i="1"/>
  <c r="D98" i="1"/>
  <c r="D97" i="1"/>
  <c r="D100" i="1"/>
  <c r="D95" i="1"/>
  <c r="D66" i="1"/>
  <c r="D99" i="1"/>
  <c r="D96" i="1"/>
  <c r="D101" i="1"/>
  <c r="D102" i="1"/>
  <c r="D62" i="1"/>
  <c r="C86" i="1"/>
  <c r="C83" i="1"/>
  <c r="C84" i="1"/>
  <c r="C82" i="1"/>
  <c r="C80" i="1"/>
  <c r="C79" i="1"/>
  <c r="C85" i="1"/>
  <c r="C81" i="1"/>
  <c r="C87" i="1"/>
  <c r="C78" i="1"/>
  <c r="C43" i="1"/>
  <c r="C88" i="1"/>
  <c r="C92" i="1"/>
  <c r="C65" i="1"/>
  <c r="C91" i="1"/>
  <c r="C89" i="1"/>
  <c r="C94" i="1"/>
  <c r="C93" i="1"/>
  <c r="C90" i="1"/>
  <c r="C64" i="1"/>
  <c r="C98" i="1"/>
  <c r="C97" i="1"/>
  <c r="C100" i="1"/>
  <c r="C95" i="1"/>
  <c r="C66" i="1"/>
  <c r="C99" i="1"/>
  <c r="C96" i="1"/>
  <c r="C101" i="1"/>
  <c r="C102" i="1"/>
  <c r="C62" i="1"/>
  <c r="C76" i="1"/>
  <c r="C75" i="1"/>
  <c r="C77" i="1"/>
  <c r="C74" i="1"/>
  <c r="C68" i="1"/>
  <c r="C71" i="1"/>
  <c r="C72" i="1"/>
  <c r="C70" i="1"/>
  <c r="C67" i="1"/>
  <c r="C69" i="1"/>
  <c r="C73" i="1"/>
  <c r="C63" i="1"/>
  <c r="C56" i="1"/>
  <c r="C58" i="1"/>
  <c r="C59" i="1"/>
  <c r="C60" i="1"/>
  <c r="C61" i="1"/>
  <c r="C57" i="1"/>
  <c r="C55" i="1"/>
  <c r="C44" i="1"/>
  <c r="C46" i="1"/>
  <c r="C48" i="1"/>
  <c r="C49" i="1"/>
  <c r="C45" i="1"/>
  <c r="C50" i="1"/>
  <c r="C47" i="1"/>
  <c r="C51" i="1"/>
  <c r="C52" i="1"/>
  <c r="C53" i="1"/>
  <c r="C54" i="1"/>
  <c r="C12" i="1"/>
  <c r="C4" i="1"/>
  <c r="C10" i="1"/>
  <c r="C9" i="1"/>
  <c r="C11" i="1"/>
  <c r="C5" i="1"/>
  <c r="C6" i="1"/>
  <c r="C7" i="1"/>
  <c r="C3" i="1"/>
  <c r="C8" i="1"/>
  <c r="C21" i="1"/>
  <c r="C13" i="1"/>
  <c r="C16" i="1"/>
  <c r="C15" i="1"/>
  <c r="C19" i="1"/>
  <c r="C22" i="1"/>
  <c r="C18" i="1"/>
  <c r="C20" i="1"/>
  <c r="C17" i="1"/>
  <c r="C14" i="1"/>
  <c r="C31" i="1"/>
  <c r="C28" i="1"/>
  <c r="C32" i="1"/>
  <c r="C25" i="1"/>
  <c r="C27" i="1"/>
  <c r="C26" i="1"/>
  <c r="C24" i="1"/>
  <c r="C29" i="1"/>
  <c r="C23" i="1"/>
  <c r="C30" i="1"/>
  <c r="C34" i="1"/>
  <c r="C42" i="1"/>
  <c r="C40" i="1"/>
  <c r="C41" i="1"/>
  <c r="C37" i="1"/>
  <c r="C38" i="1"/>
  <c r="C36" i="1"/>
  <c r="C39" i="1"/>
  <c r="C33" i="1"/>
  <c r="C35" i="1"/>
  <c r="B86" i="1"/>
  <c r="B83" i="1"/>
  <c r="B84" i="1"/>
  <c r="B82" i="1"/>
  <c r="B80" i="1"/>
  <c r="B79" i="1"/>
  <c r="B85" i="1"/>
  <c r="B81" i="1"/>
  <c r="B87" i="1"/>
  <c r="B78" i="1"/>
  <c r="B43" i="1"/>
  <c r="B88" i="1"/>
  <c r="B92" i="1"/>
  <c r="B65" i="1"/>
  <c r="B91" i="1"/>
  <c r="B89" i="1"/>
  <c r="B94" i="1"/>
  <c r="B93" i="1"/>
  <c r="B90" i="1"/>
  <c r="B64" i="1"/>
  <c r="B98" i="1"/>
  <c r="B97" i="1"/>
  <c r="B100" i="1"/>
  <c r="B95" i="1"/>
  <c r="B66" i="1"/>
  <c r="B99" i="1"/>
  <c r="B96" i="1"/>
  <c r="B101" i="1"/>
  <c r="B102" i="1"/>
  <c r="B62" i="1"/>
  <c r="B76" i="1"/>
  <c r="B75" i="1"/>
  <c r="B77" i="1"/>
  <c r="B74" i="1"/>
  <c r="B68" i="1"/>
  <c r="B71" i="1"/>
  <c r="B72" i="1"/>
  <c r="B70" i="1"/>
  <c r="B67" i="1"/>
  <c r="B69" i="1"/>
  <c r="B73" i="1"/>
  <c r="B63" i="1"/>
  <c r="B56" i="1"/>
  <c r="B58" i="1"/>
  <c r="B59" i="1"/>
  <c r="B60" i="1"/>
  <c r="B61" i="1"/>
  <c r="B57" i="1"/>
  <c r="B55" i="1"/>
  <c r="B44" i="1"/>
  <c r="B46" i="1"/>
  <c r="B48" i="1"/>
  <c r="B49" i="1"/>
  <c r="B45" i="1"/>
  <c r="B50" i="1"/>
  <c r="B47" i="1"/>
  <c r="B51" i="1"/>
  <c r="B52" i="1"/>
  <c r="B53" i="1"/>
  <c r="B54" i="1"/>
  <c r="B12" i="1"/>
  <c r="B4" i="1"/>
  <c r="B10" i="1"/>
  <c r="B9" i="1"/>
  <c r="B11" i="1"/>
  <c r="B5" i="1"/>
  <c r="B6" i="1"/>
  <c r="B7" i="1"/>
  <c r="B3" i="1"/>
  <c r="B8" i="1"/>
  <c r="B21" i="1"/>
  <c r="B13" i="1"/>
  <c r="B16" i="1"/>
  <c r="B15" i="1"/>
  <c r="B19" i="1"/>
  <c r="B22" i="1"/>
  <c r="B18" i="1"/>
  <c r="B20" i="1"/>
  <c r="B17" i="1"/>
  <c r="B14" i="1"/>
  <c r="B31" i="1"/>
  <c r="B28" i="1"/>
  <c r="B32" i="1"/>
  <c r="B25" i="1"/>
  <c r="B27" i="1"/>
  <c r="B26" i="1"/>
  <c r="B24" i="1"/>
  <c r="B29" i="1"/>
  <c r="B23" i="1"/>
  <c r="B30" i="1"/>
  <c r="B34" i="1"/>
  <c r="B42" i="1"/>
  <c r="B40" i="1"/>
  <c r="B41" i="1"/>
  <c r="B37" i="1"/>
  <c r="B38" i="1"/>
  <c r="B36" i="1"/>
  <c r="B39" i="1"/>
  <c r="B33" i="1"/>
  <c r="B35" i="1"/>
</calcChain>
</file>

<file path=xl/sharedStrings.xml><?xml version="1.0" encoding="utf-8"?>
<sst xmlns="http://schemas.openxmlformats.org/spreadsheetml/2006/main" count="255" uniqueCount="86">
  <si>
    <t>Sensor ID</t>
  </si>
  <si>
    <t>Module ID</t>
  </si>
  <si>
    <t>Board Evaluation</t>
  </si>
  <si>
    <t>Stage</t>
  </si>
  <si>
    <t>Chip Number</t>
  </si>
  <si>
    <t>1. Start Date</t>
  </si>
  <si>
    <t>1. End Date</t>
  </si>
  <si>
    <t>1. Troubleshooting</t>
  </si>
  <si>
    <t>Stage 2: Firmware Upload</t>
  </si>
  <si>
    <t>Stage 1: Hardware Assembly</t>
  </si>
  <si>
    <t>2. Start Date</t>
  </si>
  <si>
    <t>2. End Date</t>
  </si>
  <si>
    <t>2. Troubleshooting</t>
  </si>
  <si>
    <t>Stage 3: Box Assembly</t>
  </si>
  <si>
    <t>3. Start Date</t>
  </si>
  <si>
    <t>3. End Date</t>
  </si>
  <si>
    <t>3. Troubleshooting</t>
  </si>
  <si>
    <t>Stage 4: Shipping</t>
  </si>
  <si>
    <t>4. Start Date</t>
  </si>
  <si>
    <t>4. End Date</t>
  </si>
  <si>
    <t>4. Troubleshooting</t>
  </si>
  <si>
    <t>Stage 5: Board Status</t>
  </si>
  <si>
    <t>Status</t>
  </si>
  <si>
    <t>Batch</t>
  </si>
  <si>
    <t>Faulty Module</t>
  </si>
  <si>
    <t>Faulty Hardware</t>
  </si>
  <si>
    <t>Bug Found</t>
  </si>
  <si>
    <t>Wrong Fit</t>
  </si>
  <si>
    <t>Missing Team</t>
  </si>
  <si>
    <t>Missing Parts</t>
  </si>
  <si>
    <t>Faulty Sensor</t>
  </si>
  <si>
    <t>0. Production Not Started</t>
  </si>
  <si>
    <t>TOTAL</t>
  </si>
  <si>
    <t>1.1 Assembling Hardware</t>
  </si>
  <si>
    <t>1.2 Hardware Assembled</t>
  </si>
  <si>
    <t>2.2 Firmware Uploaded</t>
  </si>
  <si>
    <t>3.1 Assembling Box</t>
  </si>
  <si>
    <t>4.2 Delivered</t>
  </si>
  <si>
    <t>4.1 Shipped</t>
  </si>
  <si>
    <t>2.1 Uploading Firmware</t>
  </si>
  <si>
    <t>3.2 Box Assembled</t>
  </si>
  <si>
    <t>Sensors (un.)</t>
  </si>
  <si>
    <t>Sensors (%)</t>
  </si>
  <si>
    <t>Production Overview</t>
  </si>
  <si>
    <t>Production Not Started</t>
  </si>
  <si>
    <t>Hardware</t>
  </si>
  <si>
    <t>Firmware</t>
  </si>
  <si>
    <t>Box</t>
  </si>
  <si>
    <t>Shipping</t>
  </si>
  <si>
    <t>Online</t>
  </si>
  <si>
    <t>Offline</t>
  </si>
  <si>
    <t>Quality Check</t>
  </si>
  <si>
    <t>1. Avg</t>
  </si>
  <si>
    <t>2. Avg</t>
  </si>
  <si>
    <t>3. Avg</t>
  </si>
  <si>
    <t>4. Avg</t>
  </si>
  <si>
    <t>(vazio)</t>
  </si>
  <si>
    <t>Total Geral</t>
  </si>
  <si>
    <t>Contagem de Sensor ID</t>
  </si>
  <si>
    <t>Total Sensors (un.)</t>
  </si>
  <si>
    <t>Total Sensors (%)</t>
  </si>
  <si>
    <t>Average Duration</t>
  </si>
  <si>
    <t>Days</t>
  </si>
  <si>
    <t>1. Hardware</t>
  </si>
  <si>
    <t>2. Firmare</t>
  </si>
  <si>
    <t>3. Box</t>
  </si>
  <si>
    <t>4. Shipping</t>
  </si>
  <si>
    <t>1. Hardware Issues</t>
  </si>
  <si>
    <t>Issues (%)</t>
  </si>
  <si>
    <t>2. Firmware Issues</t>
  </si>
  <si>
    <t>Offline Overview</t>
  </si>
  <si>
    <t>0x30 0x28 0x4D 0xA7 0x85 0x41</t>
  </si>
  <si>
    <t>0x30 0x00 0xAA 0x9F 0x1B 0x24</t>
  </si>
  <si>
    <t>0x30 0x1A 0x9C 0x7D 0x0D 0x25</t>
  </si>
  <si>
    <t>0x30 0x16 0x49 0xA3 0x3E 0x80</t>
  </si>
  <si>
    <t>0x30 0x3C 0x65 0xE1 0xB7 0x91</t>
  </si>
  <si>
    <t>0x30 0x62 0x96 0x94 0x8B 0x98</t>
  </si>
  <si>
    <t>0x30 0xEA 0x59 0x32 0x23 0xD9</t>
  </si>
  <si>
    <t>0x30 0x31 0xA2 0xEA 0x47 0xAC</t>
  </si>
  <si>
    <t>0x30 0xDB 0xAA 0x0D 0x16 0x80</t>
  </si>
  <si>
    <t>0x30 0x6F 0x8F 0x71 0xE0 0x17</t>
  </si>
  <si>
    <t>0x30 0x5D 0x30 0x4C 0x45 0xA6</t>
  </si>
  <si>
    <t>0x30 0x0D 0x4B 0x29 0x8F 0x0D</t>
  </si>
  <si>
    <t>0x30 0xB2 0x60 0xED 0x41 0xC9</t>
  </si>
  <si>
    <t>0x30 0xAC 0xD9 0xDF 0xF7 0xD6</t>
  </si>
  <si>
    <t>Modules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</si>
</sst>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Batch&quot;\ 0"/>
    <numFmt numFmtId="165" formatCode="0.0"/>
  </numFmts>
  <fonts count="6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sz val="16"/>
      <color rgb="FF0A0101"/>
      <name val="Helvetica Neue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/>
    <xf numFmtId="14" fontId="2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indent="1"/>
    </xf>
    <xf numFmtId="1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3" fillId="0" borderId="0" xfId="0" applyFont="1"/>
    <xf numFmtId="165" fontId="0" fillId="0" borderId="0" xfId="0" applyNumberFormat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pivotButton="1" applyFont="1"/>
    <xf numFmtId="0" fontId="1" fillId="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1362"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font>
        <b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4" formatCode="0.00%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65" formatCode="0.0"/>
    </dxf>
    <dxf>
      <numFmt numFmtId="165" formatCode="0.0"/>
    </dxf>
    <dxf>
      <numFmt numFmtId="165" formatCode="0.0"/>
    </dxf>
    <dxf>
      <numFmt numFmtId="165" formatCode="0.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vertical="center" indent="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4" formatCode="0.00%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left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b/>
      </font>
    </dxf>
    <dxf>
      <numFmt numFmtId="166" formatCode="m/d/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6" formatCode="m/d/yy"/>
      <alignment horizontal="center" vertical="bottom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numFmt numFmtId="166" formatCode="m/d/yy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family val="2"/>
        <scheme val="minor"/>
      </font>
      <numFmt numFmtId="166" formatCode="m/d/yy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[TRACTIAN.xlsm]OVERVIEW!TD_1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</a:t>
            </a:r>
            <a:r>
              <a:rPr lang="en-US" baseline="0"/>
              <a:t> Overview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OVERVIEW!$J$3</c:f>
              <c:strCache>
                <c:ptCount val="1"/>
                <c:pt idx="0">
                  <c:v>Sensors (un.)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3DE-C743-8151-FB8311506F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3DE-C743-8151-FB8311506F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3DE-C743-8151-FB8311506FF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3DE-C743-8151-FB8311506FF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3DE-C743-8151-FB8311506FF0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OVERVIEW!$I$4:$I$9</c:f>
              <c:strCache>
                <c:ptCount val="5"/>
                <c:pt idx="0">
                  <c:v>Production Not Started</c:v>
                </c:pt>
                <c:pt idx="1">
                  <c:v>Hardware</c:v>
                </c:pt>
                <c:pt idx="2">
                  <c:v>Firmware</c:v>
                </c:pt>
                <c:pt idx="3">
                  <c:v>Box</c:v>
                </c:pt>
                <c:pt idx="4">
                  <c:v>Shipping</c:v>
                </c:pt>
              </c:strCache>
            </c:strRef>
          </c:cat>
          <c:val>
            <c:numRef>
              <c:f>OVERVIEW!$J$4:$J$9</c:f>
              <c:numCache>
                <c:formatCode>General</c:formatCode>
                <c:ptCount val="5"/>
                <c:pt idx="0">
                  <c:v>40</c:v>
                </c:pt>
                <c:pt idx="1">
                  <c:v>19</c:v>
                </c:pt>
                <c:pt idx="2">
                  <c:v>3</c:v>
                </c:pt>
                <c:pt idx="3">
                  <c:v>10</c:v>
                </c:pt>
                <c:pt idx="4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0-0647-AE6E-93DA2810F653}"/>
            </c:ext>
          </c:extLst>
        </c:ser>
        <c:ser>
          <c:idx val="1"/>
          <c:order val="1"/>
          <c:tx>
            <c:strRef>
              <c:f>OVERVIEW!$K$3</c:f>
              <c:strCache>
                <c:ptCount val="1"/>
                <c:pt idx="0">
                  <c:v>Sensors (%)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3DE-C743-8151-FB8311506FF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3DE-C743-8151-FB8311506FF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3DE-C743-8151-FB8311506FF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3DE-C743-8151-FB8311506FF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3DE-C743-8151-FB8311506FF0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OVERVIEW!$I$4:$I$9</c:f>
              <c:strCache>
                <c:ptCount val="5"/>
                <c:pt idx="0">
                  <c:v>Production Not Started</c:v>
                </c:pt>
                <c:pt idx="1">
                  <c:v>Hardware</c:v>
                </c:pt>
                <c:pt idx="2">
                  <c:v>Firmware</c:v>
                </c:pt>
                <c:pt idx="3">
                  <c:v>Box</c:v>
                </c:pt>
                <c:pt idx="4">
                  <c:v>Shipping</c:v>
                </c:pt>
              </c:strCache>
            </c:strRef>
          </c:cat>
          <c:val>
            <c:numRef>
              <c:f>OVERVIEW!$K$4:$K$9</c:f>
              <c:numCache>
                <c:formatCode>0.00%</c:formatCode>
                <c:ptCount val="5"/>
                <c:pt idx="0">
                  <c:v>0.4</c:v>
                </c:pt>
                <c:pt idx="1">
                  <c:v>0.19</c:v>
                </c:pt>
                <c:pt idx="2">
                  <c:v>0.03</c:v>
                </c:pt>
                <c:pt idx="3">
                  <c:v>0.1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0-0647-AE6E-93DA2810F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[TRACTIAN.xlsm]OVERVIEW!TD_2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overview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OVERVIEW!$N$13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696-6942-9F40-6EEAA8C79B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696-6942-9F40-6EEAA8C79B4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OVERVIEW!$M$14:$M$16</c:f>
              <c:strCache>
                <c:ptCount val="2"/>
                <c:pt idx="0">
                  <c:v>Online</c:v>
                </c:pt>
                <c:pt idx="1">
                  <c:v>Offline</c:v>
                </c:pt>
              </c:strCache>
            </c:strRef>
          </c:cat>
          <c:val>
            <c:numRef>
              <c:f>OVERVIEW!$N$14:$N$16</c:f>
              <c:numCache>
                <c:formatCode>General</c:formatCode>
                <c:ptCount val="2"/>
                <c:pt idx="0">
                  <c:v>11</c:v>
                </c:pt>
                <c:pt idx="1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0F-A248-AB2D-1A222F2D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[TRACTIAN.xlsm]OVERVIEW!Tabela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Hardware</a:t>
            </a:r>
            <a:r>
              <a:rPr lang="en-US" baseline="0"/>
              <a:t> issues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7599999999999999"/>
              <c:y val="0.37916666666666665"/>
            </c:manualLayout>
          </c:layout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9599999999999993"/>
              <c:y val="0.21666666666666662"/>
            </c:manualLayout>
          </c:layout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8533333333333322"/>
              <c:y val="4.166666666666665E-2"/>
            </c:manualLayout>
          </c:layout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26666666666666666"/>
              <c:y val="2.0833333333333332E-2"/>
            </c:manualLayout>
          </c:layout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466666666666667"/>
              <c:y val="-0.20416666666666675"/>
            </c:manualLayout>
          </c:layout>
          <c:numFmt formatCode="General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OVERVIEW!$J$29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4005-844B-BB29-791891970D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4005-844B-BB29-791891970D1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4005-844B-BB29-791891970D1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4005-844B-BB29-791891970D1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4005-844B-BB29-791891970D10}"/>
              </c:ext>
            </c:extLst>
          </c:dPt>
          <c:dLbls>
            <c:dLbl>
              <c:idx val="0"/>
              <c:layout>
                <c:manualLayout>
                  <c:x val="-0.26666666666666666"/>
                  <c:y val="2.08333333333333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005-844B-BB29-791891970D10}"/>
                </c:ext>
              </c:extLst>
            </c:dLbl>
            <c:dLbl>
              <c:idx val="1"/>
              <c:layout>
                <c:manualLayout>
                  <c:x val="0.28533333333333322"/>
                  <c:y val="4.166666666666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005-844B-BB29-791891970D10}"/>
                </c:ext>
              </c:extLst>
            </c:dLbl>
            <c:dLbl>
              <c:idx val="2"/>
              <c:layout>
                <c:manualLayout>
                  <c:x val="0.29599999999999993"/>
                  <c:y val="0.2166666666666666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005-844B-BB29-791891970D10}"/>
                </c:ext>
              </c:extLst>
            </c:dLbl>
            <c:dLbl>
              <c:idx val="3"/>
              <c:layout>
                <c:manualLayout>
                  <c:x val="0.17599999999999999"/>
                  <c:y val="0.3791666666666666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005-844B-BB29-791891970D10}"/>
                </c:ext>
              </c:extLst>
            </c:dLbl>
            <c:dLbl>
              <c:idx val="4"/>
              <c:layout>
                <c:manualLayout>
                  <c:x val="-0.1466666666666667"/>
                  <c:y val="-0.2041666666666667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005-844B-BB29-791891970D10}"/>
                </c:ext>
              </c:extLst>
            </c:dLbl>
            <c:numFmt formatCode="General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OVERVIEW!$I$30:$I$35</c:f>
              <c:strCache>
                <c:ptCount val="5"/>
                <c:pt idx="0">
                  <c:v>Faulty Module</c:v>
                </c:pt>
                <c:pt idx="1">
                  <c:v>Faulty Sensor</c:v>
                </c:pt>
                <c:pt idx="2">
                  <c:v>Missing Parts</c:v>
                </c:pt>
                <c:pt idx="3">
                  <c:v>Missing Team</c:v>
                </c:pt>
                <c:pt idx="4">
                  <c:v>(vazio)</c:v>
                </c:pt>
              </c:strCache>
            </c:strRef>
          </c:cat>
          <c:val>
            <c:numRef>
              <c:f>OVERVIEW!$J$30:$J$35</c:f>
              <c:numCache>
                <c:formatCode>0.00%</c:formatCode>
                <c:ptCount val="5"/>
                <c:pt idx="0">
                  <c:v>1.1363636363636364E-2</c:v>
                </c:pt>
                <c:pt idx="1">
                  <c:v>1.1363636363636364E-2</c:v>
                </c:pt>
                <c:pt idx="2">
                  <c:v>1.1363636363636364E-2</c:v>
                </c:pt>
                <c:pt idx="3">
                  <c:v>0.10227272727272728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5-844B-BB29-791891970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[TRACTIAN.xlsm]OVERVIEW!Tabela dinâmica3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firmware</a:t>
            </a:r>
            <a:r>
              <a:rPr lang="en-US" baseline="0"/>
              <a:t> issues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9524887928831905"/>
              <c:y val="2.0833333333333332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5443786982248512"/>
              <c:y val="4.5833333333333351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6568047337278108"/>
              <c:y val="0.2041666666666666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6272189349112429"/>
              <c:y val="-0.10833333333333349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OVERVIEW!$J$45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900-E04E-87D7-74681BD008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900-E04E-87D7-74681BD0083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900-E04E-87D7-74681BD0083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900-E04E-87D7-74681BD00831}"/>
              </c:ext>
            </c:extLst>
          </c:dPt>
          <c:dLbls>
            <c:dLbl>
              <c:idx val="0"/>
              <c:layout>
                <c:manualLayout>
                  <c:x val="-0.19524887928831905"/>
                  <c:y val="2.083333333333333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00-E04E-87D7-74681BD00831}"/>
                </c:ext>
              </c:extLst>
            </c:dLbl>
            <c:dLbl>
              <c:idx val="1"/>
              <c:layout>
                <c:manualLayout>
                  <c:x val="0.25443786982248512"/>
                  <c:y val="4.583333333333335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00-E04E-87D7-74681BD00831}"/>
                </c:ext>
              </c:extLst>
            </c:dLbl>
            <c:dLbl>
              <c:idx val="2"/>
              <c:layout>
                <c:manualLayout>
                  <c:x val="0.16568047337278108"/>
                  <c:y val="0.204166666666666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00-E04E-87D7-74681BD00831}"/>
                </c:ext>
              </c:extLst>
            </c:dLbl>
            <c:dLbl>
              <c:idx val="3"/>
              <c:layout>
                <c:manualLayout>
                  <c:x val="-0.16272189349112429"/>
                  <c:y val="-0.10833333333333349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00-E04E-87D7-74681BD0083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OVERVIEW!$I$46:$I$50</c:f>
              <c:strCache>
                <c:ptCount val="4"/>
                <c:pt idx="0">
                  <c:v>Bug Found</c:v>
                </c:pt>
                <c:pt idx="1">
                  <c:v>Faulty Hardware</c:v>
                </c:pt>
                <c:pt idx="2">
                  <c:v>Missing Team</c:v>
                </c:pt>
                <c:pt idx="3">
                  <c:v>(vazio)</c:v>
                </c:pt>
              </c:strCache>
            </c:strRef>
          </c:cat>
          <c:val>
            <c:numRef>
              <c:f>OVERVIEW!$J$46:$J$50</c:f>
              <c:numCache>
                <c:formatCode>0.00%</c:formatCode>
                <c:ptCount val="4"/>
                <c:pt idx="0">
                  <c:v>1.1111111111111112E-2</c:v>
                </c:pt>
                <c:pt idx="1">
                  <c:v>2.2222222222222223E-2</c:v>
                </c:pt>
                <c:pt idx="2">
                  <c:v>7.7777777777777779E-2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0-6B49-8307-2B143AAD9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[TRACTIAN.xlsm]OVERVIEW!Tabela dinâmica5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Box issues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17994100294985252"/>
              <c:y val="0.20416666666666664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0648967551622407"/>
              <c:y val="4.16666666666666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16519174041297938"/>
              <c:y val="-0.1125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OVERVIEW!$N$29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26D-0141-BE5F-B1372D902FF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726D-0141-BE5F-B1372D902FF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726D-0141-BE5F-B1372D902FF1}"/>
              </c:ext>
            </c:extLst>
          </c:dPt>
          <c:dLbls>
            <c:dLbl>
              <c:idx val="0"/>
              <c:layout>
                <c:manualLayout>
                  <c:x val="0.20648967551622407"/>
                  <c:y val="4.16666666666666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6D-0141-BE5F-B1372D902FF1}"/>
                </c:ext>
              </c:extLst>
            </c:dLbl>
            <c:dLbl>
              <c:idx val="1"/>
              <c:layout>
                <c:manualLayout>
                  <c:x val="0.17994100294985252"/>
                  <c:y val="0.2041666666666666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6D-0141-BE5F-B1372D902FF1}"/>
                </c:ext>
              </c:extLst>
            </c:dLbl>
            <c:dLbl>
              <c:idx val="2"/>
              <c:layout>
                <c:manualLayout>
                  <c:x val="-0.16519174041297938"/>
                  <c:y val="-0.1125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6D-0141-BE5F-B1372D902FF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OVERVIEW!$M$30:$M$33</c:f>
              <c:strCache>
                <c:ptCount val="3"/>
                <c:pt idx="0">
                  <c:v>Missing Parts</c:v>
                </c:pt>
                <c:pt idx="1">
                  <c:v>Wrong Fit</c:v>
                </c:pt>
                <c:pt idx="2">
                  <c:v>(vazio)</c:v>
                </c:pt>
              </c:strCache>
            </c:strRef>
          </c:cat>
          <c:val>
            <c:numRef>
              <c:f>OVERVIEW!$N$30:$N$33</c:f>
              <c:numCache>
                <c:formatCode>0.00%</c:formatCode>
                <c:ptCount val="3"/>
                <c:pt idx="0">
                  <c:v>7.6923076923076927E-2</c:v>
                </c:pt>
                <c:pt idx="1">
                  <c:v>2.197802197802198E-2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D-0141-BE5F-B1372D90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[TRACTIAN.xlsm]OVERVIEW!Tabela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Shipping issues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0.26253687315634205"/>
              <c:y val="0.10416666666666663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layout>
            <c:manualLayout>
              <c:x val="-0.26843657817109146"/>
              <c:y val="-8.3333333333333329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OVERVIEW!$N$45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EF57-B248-BF92-9C069EB3A6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F57-B248-BF92-9C069EB3A6CA}"/>
              </c:ext>
            </c:extLst>
          </c:dPt>
          <c:dLbls>
            <c:dLbl>
              <c:idx val="0"/>
              <c:layout>
                <c:manualLayout>
                  <c:x val="0.26253687315634205"/>
                  <c:y val="0.1041666666666666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57-B248-BF92-9C069EB3A6CA}"/>
                </c:ext>
              </c:extLst>
            </c:dLbl>
            <c:dLbl>
              <c:idx val="1"/>
              <c:layout>
                <c:manualLayout>
                  <c:x val="-0.26843657817109146"/>
                  <c:y val="-8.333333333333332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F57-B248-BF92-9C069EB3A6C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OVERVIEW!$M$46:$M$48</c:f>
              <c:strCache>
                <c:ptCount val="2"/>
                <c:pt idx="0">
                  <c:v>Missing Parts</c:v>
                </c:pt>
                <c:pt idx="1">
                  <c:v>(vazio)</c:v>
                </c:pt>
              </c:strCache>
            </c:strRef>
          </c:cat>
          <c:val>
            <c:numRef>
              <c:f>OVERVIEW!$N$46:$N$48</c:f>
              <c:numCache>
                <c:formatCode>0.00%</c:formatCode>
                <c:ptCount val="2"/>
                <c:pt idx="0">
                  <c:v>3.0927835051546393E-2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7-B248-BF92-9C069EB3A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279400</xdr:colOff>
          <xdr:row>0</xdr:row>
          <xdr:rowOff>38100</xdr:rowOff>
        </xdr:from>
        <xdr:to>
          <xdr:col>23</xdr:col>
          <xdr:colOff>558800</xdr:colOff>
          <xdr:row>1</xdr:row>
          <xdr:rowOff>228600</xdr:rowOff>
        </xdr:to>
        <xdr:sp macro="" textlink="">
          <xdr:nvSpPr>
            <xdr:cNvPr id="1026" name="Generate Status" descr="Generate Board Statu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Random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11</xdr:col>
      <xdr:colOff>0</xdr:colOff>
      <xdr:row>25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1244600</xdr:colOff>
      <xdr:row>2</xdr:row>
      <xdr:rowOff>0</xdr:rowOff>
    </xdr:from>
    <xdr:to>
      <xdr:col>14</xdr:col>
      <xdr:colOff>203200</xdr:colOff>
      <xdr:row>9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ch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5600" y="533400"/>
              <a:ext cx="1828800" cy="142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28</xdr:row>
      <xdr:rowOff>0</xdr:rowOff>
    </xdr:from>
    <xdr:to>
      <xdr:col>11</xdr:col>
      <xdr:colOff>0</xdr:colOff>
      <xdr:row>43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44</xdr:row>
      <xdr:rowOff>0</xdr:rowOff>
    </xdr:from>
    <xdr:to>
      <xdr:col>11</xdr:col>
      <xdr:colOff>0</xdr:colOff>
      <xdr:row>59</xdr:row>
      <xdr:rowOff>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28</xdr:row>
      <xdr:rowOff>0</xdr:rowOff>
    </xdr:from>
    <xdr:to>
      <xdr:col>15</xdr:col>
      <xdr:colOff>0</xdr:colOff>
      <xdr:row>43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44</xdr:row>
      <xdr:rowOff>0</xdr:rowOff>
    </xdr:from>
    <xdr:to>
      <xdr:col>15</xdr:col>
      <xdr:colOff>0</xdr:colOff>
      <xdr:row>59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Rafael Leonardo" refreshedDate="44670.943424652774" createdVersion="7" refreshedVersion="7" minRefreshableVersion="3" recordCount="100" xr:uid="{46801B1A-B73A-8F43-A7BF-28FAAFD43E3B}">
  <cacheSource type="worksheet">
    <worksheetSource name="Tabela1"/>
  </cacheSource>
  <cacheFields count="24">
    <cacheField name="Batch" numFmtId="1">
      <sharedItems containsSemiMixedTypes="0" containsString="0" containsNumber="1" containsInteger="1" minValue="1" maxValue="3" count="3">
        <n v="3"/>
        <n v="1"/>
        <n v="2"/>
      </sharedItems>
    </cacheField>
    <cacheField name="Chip Number" numFmtId="0">
      <sharedItems/>
    </cacheField>
    <cacheField name="Sensor ID" numFmtId="0">
      <sharedItems/>
    </cacheField>
    <cacheField name="Module ID" numFmtId="0">
      <sharedItems count="100">
        <s v="0x50 0xFE 0xD3 0xAC 0x86 0xFE"/>
        <s v="0x50 0x4D 0x27 0x67 0x1E 0xE7"/>
        <s v="0x50 0xE6 0xF0 0x2A 0x3C 0x91"/>
        <s v="0x50 0x04 0x8B 0xC2 0x70 0x66"/>
        <s v="0x50 0x4B 0x57 0x9D 0xBF 0x21"/>
        <s v="0x50 0x9D 0xEE 0x19 0x1B 0xBA"/>
        <s v="0x50 0x63 0xFA 0xB2 0x35 0x63"/>
        <s v="0x50 0x79 0xFF 0x37 0x0A 0x32"/>
        <s v="0x50 0xE5 0x90 0x3A 0x65 0x89"/>
        <s v="0x50 0xD1 0x22 0x20 0xA2 0x41"/>
        <s v="0x50 0x6D 0x80 0xE9 0xD3 0xF6"/>
        <s v="0x50 0x96 0xDC 0x4B 0x0C 0x73"/>
        <s v="0x50 0xD8 0xBA 0xA4 0xA9 0xDD"/>
        <s v="0x50 0xF5 0x98 0x49 0x19 0xC3"/>
        <s v="0x50 0xE5 0xBE 0x5B 0xCB 0xF1"/>
        <s v="0x50 0x3F 0x78 0x6A 0xDC 0x3F"/>
        <s v="0x50 0xB5 0x62 0x91 0x84 0xC7"/>
        <s v="0x50 0x77 0x68 0x84 0x89 0x5D"/>
        <s v="0x50 0xCA 0xD8 0xC3 0x61 0x6E"/>
        <s v="0x50 0xBD 0xCB 0x35 0x8E 0x23"/>
        <s v="0x50 0xFF 0xC1 0xB8 0x16 0x3A"/>
        <s v="0x50 0x1E 0xFB 0xE2 0xBC 0x10"/>
        <s v="0x50 0x91 0xCF 0x37 0x75 0x14"/>
        <s v="0x50 0x2D 0x2C 0x11 0xCA 0xF5"/>
        <s v="0x50 0x99 0xE3 0x5A 0x38 0x43"/>
        <s v="0x50 0xDF 0xD3 0x39 0x41 0xCB"/>
        <s v="0x50 0x1C 0x25 0x8B 0x65 0x72"/>
        <s v="0x50 0xBB 0xB3 0xE8 0x30 0x9A"/>
        <s v="0x50 0xE2 0x98 0x19 0x7F 0xA3"/>
        <s v="0x50 0x72 0xAB 0x6E 0x9E 0xF4"/>
        <s v="0x50 0xC9 0xE8 0x8D 0xEB 0xE4"/>
        <s v="0x50 0xE5 0x82 0x25 0xED 0xD5"/>
        <s v="0x50 0x59 0x0B 0x3D 0xDF 0x93"/>
        <s v="0x50 0xD8 0xC0 0x5B 0xAD 0x01"/>
        <s v="0x50 0x94 0x35 0x2A 0x4B 0xE7"/>
        <s v="0x50 0xEA 0x6F 0x79 0x5C 0x13"/>
        <s v="0x50 0xCC 0xC0 0x11 0xE5 0x37"/>
        <s v="0x50 0x1E 0x89 0xB2 0x6E 0x8D"/>
        <s v="0x50 0x47 0xCE 0xE9 0x10 0xD7"/>
        <s v="0x50 0x15 0x8C 0x58 0x53 0x5E"/>
        <s v="0x30 0x46 0x95 0xD3 0xE2 0x6E"/>
        <s v="0x40 0xC0 0xC4 0xED 0x27 0x51"/>
        <s v="0x40 0xC1 0x72 0x5C 0x15 0x9E"/>
        <s v="0x40 0x1D 0x65 0x49 0xAC 0xD5"/>
        <s v="0x40 0xDB 0x33 0xC5 0x03 0x87"/>
        <s v="0x40 0x89 0xDF 0xEC 0xCD 0x79"/>
        <s v="0x40 0x32 0xD2 0xF9 0x02 0x56"/>
        <s v="0x40 0xCA 0x43 0x1C 0xC9 0x5C"/>
        <s v="0x40 0x61 0x2C 0x1A 0xBB 0xB6"/>
        <s v="0x40 0x7D 0xEB 0xFC 0x69 0x9A"/>
        <s v="0x40 0x51 0x83 0x72 0x92 0xE4"/>
        <s v="0x40 0xA9 0xB2 0xC4 0xAB 0x6C"/>
        <s v="0x40 0xBF 0xA9 0x26 0xC1 0xCF"/>
        <s v="0x40 0x33 0xA4 0x0E 0x64 0x42"/>
        <s v="0x40 0xF6 0xF5 0x57 0xDD 0xB3"/>
        <s v="0x40 0xDD 0xF8 0x41 0xC9 0x03"/>
        <s v="0x40 0x76 0x6E 0xCF 0x44 0x5D"/>
        <s v="0x40 0xDB 0x36 0xE2 0x04 0x66"/>
        <s v="0x40 0x21 0x37 0x76 0x91 0xC6"/>
        <s v="0x30 0x44 0x7C 0x5F 0xA2 0xD6"/>
        <s v="0x40 0x67 0xD2 0x69 0xF7 0xAC"/>
        <s v="0x30 0x27 0xB6 0xEE 0x64 0x13"/>
        <s v="0x30 0xCA 0x61 0x76 0x16 0x03"/>
        <s v="0x30 0x6F 0xDD 0xC1 0xD9 0x2C"/>
        <s v="0x40 0x9B 0xE0 0x05 0xB6 0x05"/>
        <s v="0x40 0x8C 0x9B 0xB8 0x13 0x7C"/>
        <s v="0x40 0x05 0x93 0x17 0x2C 0xCB"/>
        <s v="0x40 0x2C 0x70 0xC5 0x48 0xD7"/>
        <s v="0x40 0xF2 0xDC 0xFC 0x5B 0xBD"/>
        <s v="0x40 0x3E 0x44 0xC0 0x45 0x28"/>
        <s v="0x40 0x7F 0x5B 0xAC 0x5C 0xF1"/>
        <s v="0x40 0xB9 0x62 0xBE 0x3D 0xE5"/>
        <s v="0x40 0x81 0x55 0x52 0x57 0x36"/>
        <s v="0x40 0x82 0x49 0xB7 0x06 0x11"/>
        <s v="0x40 0x97 0xE7 0xCA 0x1B 0x25"/>
        <s v="0x30 0xF9 0xEB 0x25 0x80 0xCB"/>
        <s v="0x30 0x16 0xB3 0x87 0x4D 0x67"/>
        <s v="0x30 0x5D 0x30 0x4C 0x45 0xA6"/>
        <s v="0x30 0x31 0xA2 0xEA 0x47 0xAC"/>
        <s v="0x30 0xAC 0xD9 0xDF 0xF7 0xD6"/>
        <s v="0x30 0x06 0xBC 0x69 0xDA 0xB3"/>
        <s v="0x30 0xDB 0xAA 0x0D 0x16 0x80"/>
        <s v="0x30 0xB1 0xD8 0x62 0x2E 0x6B"/>
        <s v="0x30 0x95 0xE6 0xFC 0xD2 0x0B"/>
        <s v="0x30 0x62 0x96 0x94 0x8B 0x98"/>
        <s v="0x30 0x37 0xB6 0x8A 0x5B 0xB9"/>
        <s v="0x30 0x00 0xAA 0x9F 0x1B 0x24"/>
        <s v="0x30 0xB2 0x60 0xED 0x41 0xC9"/>
        <s v="0x30 0x79 0x81 0xF8 0x65 0x4F"/>
        <s v="0x30 0xD8 0x2A 0xAC 0xB4 0x95"/>
        <s v="0x30 0xEA 0x59 0x32 0x23 0xD9"/>
        <s v="0x30 0x6F 0x8F 0x71 0xE0 0x17"/>
        <s v="0x30 0xEC 0xD5 0x48 0x23 0x2F"/>
        <s v="0x30 0x1A 0x9C 0x7D 0x0D 0x25"/>
        <s v="0x30 0x28 0x4D 0xA7 0x85 0x41"/>
        <s v="0x30 0x0D 0x4B 0x29 0x8F 0x0D"/>
        <s v="0x30 0x16 0x49 0xA3 0x3E 0x80"/>
        <s v="0x30 0xC1 0x9E 0xAA 0x03 0x90"/>
        <s v="0x30 0x84 0x75 0x4E 0x1E 0xCB"/>
        <s v="0x30 0x3C 0x65 0xE1 0xB7 0x91"/>
      </sharedItems>
    </cacheField>
    <cacheField name="Stage" numFmtId="0">
      <sharedItems count="17">
        <s v="0. Production Not Started"/>
        <s v="1.1 Assembling Hardware"/>
        <s v="1.2 Hardware Assembled"/>
        <s v="2.1 Uploading Firmware"/>
        <s v="2.2 Firmware Uploaded"/>
        <s v="3.1 Assembling Box"/>
        <s v="3.2 Box Assembled"/>
        <s v="4.1 Shipped"/>
        <s v="4.2 Delivered"/>
        <s v="1. Hardware Assembled" u="1"/>
        <s v="2. Uploading Firmware" u="1"/>
        <s v="4. Delivered" u="1"/>
        <s v="1. Assembling Hardware" u="1"/>
        <s v="3. Assembling Box" u="1"/>
        <s v="2. Firmware Uploaded" u="1"/>
        <s v="4. Shipped" u="1"/>
        <s v="2. 1Uploading Firmware" u="1"/>
      </sharedItems>
      <fieldGroup par="23"/>
    </cacheField>
    <cacheField name="1. Start Date" numFmtId="14">
      <sharedItems containsSemiMixedTypes="0" containsNonDate="0" containsDate="1" containsString="0" minDate="2022-03-28T00:00:00" maxDate="2022-08-29T00:00:00"/>
    </cacheField>
    <cacheField name="1. End Date" numFmtId="14">
      <sharedItems containsNonDate="0" containsDate="1" containsString="0" containsBlank="1" minDate="2022-04-05T00:00:00" maxDate="2022-04-22T00:00:00"/>
    </cacheField>
    <cacheField name="1. Avg" numFmtId="0">
      <sharedItems containsMixedTypes="1" containsNumber="1" containsInteger="1" minValue="8" maxValue="12"/>
    </cacheField>
    <cacheField name="1. Troubleshooting" numFmtId="0">
      <sharedItems containsBlank="1" count="5">
        <m/>
        <s v="Faulty Module"/>
        <s v="Missing Team"/>
        <s v="Faulty Sensor"/>
        <s v="Missing Parts"/>
      </sharedItems>
    </cacheField>
    <cacheField name="2. Start Date" numFmtId="14">
      <sharedItems containsNonDate="0" containsDate="1" containsString="0" containsBlank="1" minDate="2022-04-05T00:00:00" maxDate="2022-04-22T00:00:00"/>
    </cacheField>
    <cacheField name="2. End Date" numFmtId="14">
      <sharedItems containsNonDate="0" containsDate="1" containsString="0" containsBlank="1" minDate="2022-04-06T00:00:00" maxDate="2022-04-23T00:00:00"/>
    </cacheField>
    <cacheField name="2. Avg" numFmtId="0">
      <sharedItems containsMixedTypes="1" containsNumber="1" containsInteger="1" minValue="1" maxValue="4"/>
    </cacheField>
    <cacheField name="2. Troubleshooting" numFmtId="0">
      <sharedItems containsBlank="1" count="4">
        <m/>
        <s v="Missing Team"/>
        <s v="Faulty Hardware"/>
        <s v="Bug Found"/>
      </sharedItems>
    </cacheField>
    <cacheField name="3. Start Date" numFmtId="14">
      <sharedItems containsNonDate="0" containsDate="1" containsString="0" containsBlank="1" minDate="2022-04-06T00:00:00" maxDate="2022-04-23T00:00:00"/>
    </cacheField>
    <cacheField name="3. End Date" numFmtId="14">
      <sharedItems containsNonDate="0" containsDate="1" containsString="0" containsBlank="1" minDate="2022-04-08T00:00:00" maxDate="2022-04-23T00:00:00"/>
    </cacheField>
    <cacheField name="3. Avg" numFmtId="0">
      <sharedItems containsMixedTypes="1" containsNumber="1" containsInteger="1" minValue="1" maxValue="5"/>
    </cacheField>
    <cacheField name="3. Troubleshooting" numFmtId="0">
      <sharedItems containsBlank="1" count="3">
        <m/>
        <s v="Wrong Fit"/>
        <s v="Missing Parts"/>
      </sharedItems>
    </cacheField>
    <cacheField name="4. Start Date" numFmtId="14">
      <sharedItems containsNonDate="0" containsDate="1" containsString="0" containsBlank="1" minDate="2022-04-12T00:00:00" maxDate="2022-04-28T00:00:00"/>
    </cacheField>
    <cacheField name="4. End Date" numFmtId="14">
      <sharedItems containsNonDate="0" containsDate="1" containsString="0" containsBlank="1" minDate="2022-04-15T00:00:00" maxDate="2022-04-22T00:00:00"/>
    </cacheField>
    <cacheField name="4. Avg" numFmtId="0">
      <sharedItems containsMixedTypes="1" containsNumber="1" containsInteger="1" minValue="3" maxValue="3"/>
    </cacheField>
    <cacheField name="4. Troubleshooting" numFmtId="0">
      <sharedItems containsBlank="1" count="2">
        <m/>
        <s v="Missing Parts"/>
      </sharedItems>
    </cacheField>
    <cacheField name="Status" numFmtId="14">
      <sharedItems containsBlank="1" count="3">
        <s v="Offline"/>
        <s v="Online"/>
        <m u="1"/>
      </sharedItems>
    </cacheField>
    <cacheField name="1. Avg. Time" numFmtId="0" formula="('1. End Date'-'1. Start Date')" databaseField="0"/>
    <cacheField name="Stage2" numFmtId="0" databaseField="0">
      <fieldGroup base="4">
        <discretePr count="17">
          <x v="0"/>
          <x v="9"/>
          <x v="9"/>
          <x v="10"/>
          <x v="10"/>
          <x v="11"/>
          <x v="11"/>
          <x v="12"/>
          <x v="12"/>
          <x v="1"/>
          <x v="2"/>
          <x v="3"/>
          <x v="4"/>
          <x v="5"/>
          <x v="6"/>
          <x v="7"/>
          <x v="8"/>
        </discretePr>
        <groupItems count="13">
          <s v="0. Production Not Started"/>
          <s v="1. Hardware Assembled"/>
          <s v="2. Uploading Firmware"/>
          <s v="4. Delivered"/>
          <s v="1. Assembling Hardware"/>
          <s v="3. Assembling Box"/>
          <s v="2. Firmware Uploaded"/>
          <s v="4. Shipped"/>
          <s v="2. 1Uploading Firmware"/>
          <s v="Agrupar1"/>
          <s v="Agrupar2"/>
          <s v="Agrupar3"/>
          <s v="Agrupar4"/>
        </groupItems>
      </fieldGroup>
    </cacheField>
  </cacheFields>
  <extLst>
    <ext xmlns:x14="http://schemas.microsoft.com/office/spreadsheetml/2009/9/main" uri="{725AE2AE-9491-48be-B2B4-4EB974FC3084}">
      <x14:pivotCacheDefinition pivotCacheId="670166590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EF042-AB11-D045-9EF7-92A5BA3BCC55}" name="Tabela dinâmica3" cacheId="10" applyNumberFormats="0" applyBorderFormats="0" applyFontFormats="0" applyPatternFormats="0" applyAlignmentFormats="0" applyWidthHeightFormats="1" dataCaption="Valores" grandTotalCaption="TOTAL" showError="1" updatedVersion="7" minRefreshableVersion="3" enableDrill="0" itemPrintTitles="1" mergeItem="1" createdVersion="7" indent="0" outline="1" outlineData="1" multipleFieldFilters="0" chartFormat="2" rowHeaderCaption="2. Firmware Issues">
  <location ref="I45:J50" firstHeaderRow="1" firstDataRow="1" firstDataCol="1"/>
  <pivotFields count="24">
    <pivotField numFmtId="1" showAll="0">
      <items count="4">
        <item x="1"/>
        <item x="2"/>
        <item x="0"/>
        <item t="default"/>
      </items>
    </pivotField>
    <pivotField showAll="0"/>
    <pivotField dataField="1" showAll="0"/>
    <pivotField showAll="0"/>
    <pivotField showAll="0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ntagem de Sensor ID" fld="2" subtotal="count" showDataAs="percent" baseField="12" baseItem="3" numFmtId="10"/>
  </dataFields>
  <formats count="12">
    <format dxfId="1235">
      <pivotArea type="all" dataOnly="0" outline="0" fieldPosition="0"/>
    </format>
    <format dxfId="1234">
      <pivotArea outline="0" collapsedLevelsAreSubtotals="1" fieldPosition="0"/>
    </format>
    <format dxfId="1233">
      <pivotArea field="12" type="button" dataOnly="0" labelOnly="1" outline="0" axis="axisRow" fieldPosition="0"/>
    </format>
    <format dxfId="1232">
      <pivotArea dataOnly="0" labelOnly="1" fieldPosition="0">
        <references count="1">
          <reference field="12" count="0"/>
        </references>
      </pivotArea>
    </format>
    <format dxfId="1231">
      <pivotArea dataOnly="0" labelOnly="1" grandRow="1" outline="0" fieldPosition="0"/>
    </format>
    <format dxfId="1230">
      <pivotArea dataOnly="0" labelOnly="1" outline="0" axis="axisValues" fieldPosition="0"/>
    </format>
    <format dxfId="1229">
      <pivotArea type="all" dataOnly="0" outline="0" fieldPosition="0"/>
    </format>
    <format dxfId="1228">
      <pivotArea outline="0" collapsedLevelsAreSubtotals="1" fieldPosition="0"/>
    </format>
    <format dxfId="1227">
      <pivotArea field="12" type="button" dataOnly="0" labelOnly="1" outline="0" axis="axisRow" fieldPosition="0"/>
    </format>
    <format dxfId="1226">
      <pivotArea dataOnly="0" labelOnly="1" fieldPosition="0">
        <references count="1">
          <reference field="12" count="0"/>
        </references>
      </pivotArea>
    </format>
    <format dxfId="1225">
      <pivotArea dataOnly="0" labelOnly="1" grandRow="1" outline="0" fieldPosition="0"/>
    </format>
    <format dxfId="1224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382DA1-9E38-6A46-BC77-5B11E6038AE3}" name="Tabela dinâmica2" cacheId="10" dataOnRows="1" applyNumberFormats="0" applyBorderFormats="0" applyFontFormats="0" applyPatternFormats="0" applyAlignmentFormats="0" applyWidthHeightFormats="1" dataCaption="Valores" grandTotalCaption="TOTAL" showError="1" updatedVersion="7" minRefreshableVersion="3" itemPrintTitles="1" mergeItem="1" createdVersion="7" indent="0" outline="1" outlineData="1" multipleFieldFilters="0" chartFormat="1" rowHeaderCaption="1. Hardware Issues">
  <location ref="I29:J35" firstHeaderRow="1" firstDataRow="1" firstDataCol="1"/>
  <pivotFields count="24">
    <pivotField numFmtId="1" showAll="0">
      <items count="4">
        <item x="1"/>
        <item x="2"/>
        <item x="0"/>
        <item t="default"/>
      </items>
    </pivotField>
    <pivotField showAll="0"/>
    <pivotField dataField="1" showAll="0"/>
    <pivotField showAll="0"/>
    <pivotField showAll="0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/>
    <pivotField showAll="0"/>
    <pivotField showAll="0"/>
    <pivotField axis="axisRow" showAll="0">
      <items count="6">
        <item x="1"/>
        <item x="3"/>
        <item x="4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Issues (%)" fld="2" subtotal="count" showDataAs="percent" baseField="8" baseItem="4" numFmtId="10"/>
  </dataFields>
  <formats count="13">
    <format dxfId="1248">
      <pivotArea type="all" dataOnly="0" outline="0" fieldPosition="0"/>
    </format>
    <format dxfId="1247">
      <pivotArea outline="0" collapsedLevelsAreSubtotals="1" fieldPosition="0"/>
    </format>
    <format dxfId="1246">
      <pivotArea field="8" type="button" dataOnly="0" labelOnly="1" outline="0" axis="axisRow" fieldPosition="0"/>
    </format>
    <format dxfId="1245">
      <pivotArea dataOnly="0" labelOnly="1" fieldPosition="0">
        <references count="1">
          <reference field="8" count="0"/>
        </references>
      </pivotArea>
    </format>
    <format dxfId="1244">
      <pivotArea dataOnly="0" labelOnly="1" grandRow="1" outline="0" fieldPosition="0"/>
    </format>
    <format dxfId="1243">
      <pivotArea dataOnly="0" labelOnly="1" outline="0" axis="axisValues" fieldPosition="0"/>
    </format>
    <format dxfId="1242">
      <pivotArea type="all" dataOnly="0" outline="0" fieldPosition="0"/>
    </format>
    <format dxfId="1241">
      <pivotArea outline="0" collapsedLevelsAreSubtotals="1" fieldPosition="0"/>
    </format>
    <format dxfId="1240">
      <pivotArea field="8" type="button" dataOnly="0" labelOnly="1" outline="0" axis="axisRow" fieldPosition="0"/>
    </format>
    <format dxfId="1239">
      <pivotArea dataOnly="0" labelOnly="1" fieldPosition="0">
        <references count="1">
          <reference field="8" count="0"/>
        </references>
      </pivotArea>
    </format>
    <format dxfId="1238">
      <pivotArea dataOnly="0" labelOnly="1" grandRow="1" outline="0" fieldPosition="0"/>
    </format>
    <format dxfId="1237">
      <pivotArea dataOnly="0" labelOnly="1" outline="0" axis="axisValues" fieldPosition="0"/>
    </format>
    <format dxfId="1236">
      <pivotArea outline="0" fieldPosition="0">
        <references count="1">
          <reference field="4294967294" count="1">
            <x v="0"/>
          </reference>
        </references>
      </pivotArea>
    </format>
  </formats>
  <chartFormats count="11"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7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0" format="28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29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30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3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40F4B2-6125-5F46-B9FC-2048634BCEAA}" name="Tabela dinâmica7" cacheId="10" applyNumberFormats="0" applyBorderFormats="0" applyFontFormats="0" applyPatternFormats="0" applyAlignmentFormats="0" applyWidthHeightFormats="1" dataCaption="Valores" showError="1" updatedVersion="7" minRefreshableVersion="3" itemPrintTitles="1" mergeItem="1" createdVersion="7" indent="0" outline="1" outlineData="1" multipleFieldFilters="0" rowHeaderCaption="Offline Overview">
  <location ref="A36:A52" firstHeaderRow="1" firstDataRow="1" firstDataCol="1" rowPageCount="1" colPageCount="1"/>
  <pivotFields count="24">
    <pivotField numFmtId="1" showAll="0">
      <items count="4">
        <item x="1"/>
        <item x="2"/>
        <item x="0"/>
        <item t="default"/>
      </items>
    </pivotField>
    <pivotField showAll="0"/>
    <pivotField showAll="0"/>
    <pivotField axis="axisRow" showAll="0">
      <items count="101">
        <item x="86"/>
        <item x="80"/>
        <item x="95"/>
        <item x="96"/>
        <item x="76"/>
        <item x="93"/>
        <item x="61"/>
        <item x="94"/>
        <item x="78"/>
        <item x="85"/>
        <item x="99"/>
        <item x="59"/>
        <item x="40"/>
        <item x="77"/>
        <item x="84"/>
        <item x="91"/>
        <item x="63"/>
        <item x="88"/>
        <item x="98"/>
        <item x="83"/>
        <item x="79"/>
        <item x="82"/>
        <item x="87"/>
        <item x="97"/>
        <item x="62"/>
        <item x="89"/>
        <item x="81"/>
        <item x="90"/>
        <item x="92"/>
        <item x="75"/>
        <item x="66"/>
        <item x="43"/>
        <item x="58"/>
        <item x="67"/>
        <item x="46"/>
        <item x="53"/>
        <item x="69"/>
        <item x="50"/>
        <item x="48"/>
        <item x="60"/>
        <item x="56"/>
        <item x="49"/>
        <item x="70"/>
        <item x="72"/>
        <item x="73"/>
        <item x="45"/>
        <item x="65"/>
        <item x="74"/>
        <item x="64"/>
        <item x="51"/>
        <item x="71"/>
        <item x="52"/>
        <item x="41"/>
        <item x="42"/>
        <item x="47"/>
        <item x="44"/>
        <item x="57"/>
        <item x="55"/>
        <item x="68"/>
        <item x="54"/>
        <item x="3"/>
        <item x="39"/>
        <item x="26"/>
        <item x="37"/>
        <item x="21"/>
        <item x="23"/>
        <item x="15"/>
        <item x="38"/>
        <item x="4"/>
        <item x="1"/>
        <item x="32"/>
        <item x="6"/>
        <item x="10"/>
        <item x="29"/>
        <item x="17"/>
        <item x="7"/>
        <item x="22"/>
        <item x="34"/>
        <item x="11"/>
        <item x="24"/>
        <item x="5"/>
        <item x="16"/>
        <item x="27"/>
        <item x="19"/>
        <item x="30"/>
        <item x="18"/>
        <item x="36"/>
        <item x="9"/>
        <item x="12"/>
        <item x="33"/>
        <item x="25"/>
        <item x="28"/>
        <item x="31"/>
        <item x="8"/>
        <item x="14"/>
        <item x="2"/>
        <item x="35"/>
        <item x="13"/>
        <item x="0"/>
        <item x="20"/>
        <item t="default"/>
      </items>
    </pivotField>
    <pivotField axis="axisPage" multipleItemSelectionAllowed="1" showAll="0">
      <items count="18">
        <item h="1" x="0"/>
        <item h="1" m="1" x="12"/>
        <item h="1" m="1" x="9"/>
        <item h="1" x="1"/>
        <item h="1" x="2"/>
        <item h="1" m="1" x="16"/>
        <item h="1" m="1" x="14"/>
        <item h="1" m="1" x="10"/>
        <item h="1" x="3"/>
        <item h="1" x="4"/>
        <item h="1" m="1" x="13"/>
        <item h="1" x="5"/>
        <item h="1" x="6"/>
        <item m="1" x="11"/>
        <item h="1" m="1" x="15"/>
        <item h="1" x="7"/>
        <item x="8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n="Modules" x="0"/>
        <item h="1" x="1"/>
        <item h="1" m="1" x="2"/>
        <item t="default"/>
      </items>
    </pivotField>
    <pivotField dragToRow="0" dragToCol="0" dragToPage="0"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2">
    <field x="21"/>
    <field x="3"/>
  </rowFields>
  <rowItems count="16">
    <i>
      <x/>
    </i>
    <i r="1">
      <x/>
    </i>
    <i r="1">
      <x v="2"/>
    </i>
    <i r="1">
      <x v="3"/>
    </i>
    <i r="1">
      <x v="5"/>
    </i>
    <i r="1">
      <x v="7"/>
    </i>
    <i r="1">
      <x v="8"/>
    </i>
    <i r="1">
      <x v="10"/>
    </i>
    <i r="1">
      <x v="13"/>
    </i>
    <i r="1">
      <x v="14"/>
    </i>
    <i r="1">
      <x v="15"/>
    </i>
    <i r="1">
      <x v="20"/>
    </i>
    <i r="1">
      <x v="22"/>
    </i>
    <i r="1">
      <x v="26"/>
    </i>
    <i r="1">
      <x v="27"/>
    </i>
    <i t="grand">
      <x/>
    </i>
  </rowItems>
  <colItems count="1">
    <i/>
  </colItems>
  <pageFields count="1">
    <pageField fld="4" hier="-1"/>
  </pageFields>
  <formats count="3">
    <format dxfId="1251">
      <pivotArea field="4" type="button" dataOnly="0" labelOnly="1" outline="0" axis="axisPage" fieldPosition="0"/>
    </format>
    <format dxfId="1250">
      <pivotArea dataOnly="0" labelOnly="1" grandRow="1" outline="0" fieldPosition="0"/>
    </format>
    <format dxfId="124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C13A3E-627F-9F4C-A7D9-093D4D79FF78}" name="Tabela dinâmica6" cacheId="10" applyNumberFormats="0" applyBorderFormats="0" applyFontFormats="0" applyPatternFormats="0" applyAlignmentFormats="0" applyWidthHeightFormats="1" dataCaption="Valores" showError="1" updatedVersion="7" minRefreshableVersion="3" itemPrintTitles="1" mergeItem="1" createdVersion="7" indent="0" outline="1" outlineData="1" multipleFieldFilters="0" chartFormat="1" rowHeaderCaption="4. Shipping">
  <location ref="M45:N48" firstHeaderRow="1" firstDataRow="1" firstDataCol="1"/>
  <pivotFields count="24">
    <pivotField numFmtId="1" showAll="0">
      <items count="4">
        <item x="1"/>
        <item x="2"/>
        <item x="0"/>
        <item t="default"/>
      </items>
    </pivotField>
    <pivotField showAll="0"/>
    <pivotField dataField="1" showAll="0"/>
    <pivotField showAll="0"/>
    <pivotField showAll="0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dragToRow="0" dragToCol="0" dragToPage="0"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dataFields count="1">
    <dataField name="Issues (%)" fld="2" subtotal="count" showDataAs="percent" baseField="20" baseItem="1" numFmtId="10"/>
  </dataFields>
  <formats count="12">
    <format dxfId="1263">
      <pivotArea type="all" dataOnly="0" outline="0" fieldPosition="0"/>
    </format>
    <format dxfId="1262">
      <pivotArea outline="0" collapsedLevelsAreSubtotals="1" fieldPosition="0"/>
    </format>
    <format dxfId="1261">
      <pivotArea field="20" type="button" dataOnly="0" labelOnly="1" outline="0" axis="axisRow" fieldPosition="0"/>
    </format>
    <format dxfId="1260">
      <pivotArea dataOnly="0" labelOnly="1" fieldPosition="0">
        <references count="1">
          <reference field="20" count="0"/>
        </references>
      </pivotArea>
    </format>
    <format dxfId="1259">
      <pivotArea dataOnly="0" labelOnly="1" grandRow="1" outline="0" fieldPosition="0"/>
    </format>
    <format dxfId="1258">
      <pivotArea dataOnly="0" labelOnly="1" outline="0" axis="axisValues" fieldPosition="0"/>
    </format>
    <format dxfId="1257">
      <pivotArea type="all" dataOnly="0" outline="0" fieldPosition="0"/>
    </format>
    <format dxfId="1256">
      <pivotArea outline="0" collapsedLevelsAreSubtotals="1" fieldPosition="0"/>
    </format>
    <format dxfId="1255">
      <pivotArea field="20" type="button" dataOnly="0" labelOnly="1" outline="0" axis="axisRow" fieldPosition="0"/>
    </format>
    <format dxfId="1254">
      <pivotArea dataOnly="0" labelOnly="1" fieldPosition="0">
        <references count="1">
          <reference field="20" count="0"/>
        </references>
      </pivotArea>
    </format>
    <format dxfId="1253">
      <pivotArea dataOnly="0" labelOnly="1" grandRow="1" outline="0" fieldPosition="0"/>
    </format>
    <format dxfId="1252">
      <pivotArea dataOnly="0" labelOnly="1" outline="0" axis="axisValues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9D92F8-D93A-FB45-99E1-7E3850123F68}" name="Tabela dinâmica4" cacheId="10" applyNumberFormats="0" applyBorderFormats="0" applyFontFormats="0" applyPatternFormats="0" applyAlignmentFormats="0" applyWidthHeightFormats="1" dataCaption="Valores" grandTotalCaption="TOTAL" showError="1" updatedVersion="7" minRefreshableVersion="3" itemPrintTitles="1" createdVersion="7" indent="0" outline="1" outlineData="1" multipleFieldFilters="0" chartFormat="1">
  <location ref="B30:E31" firstHeaderRow="0" firstDataRow="1" firstDataCol="0"/>
  <pivotFields count="24">
    <pivotField numFmtId="1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showAll="0" defaultSubtotal="0">
      <items count="13">
        <item n="Production Not Started" x="0"/>
        <item x="1"/>
        <item x="2"/>
        <item x="3"/>
        <item x="4"/>
        <item x="5"/>
        <item x="6"/>
        <item x="7"/>
        <item x="8"/>
        <item n="Hardware" x="9"/>
        <item n="Firmware" x="10"/>
        <item n="Box" x="11"/>
        <item n="Shipping" x="12"/>
      </items>
    </pivotField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1. Hardware" fld="7" subtotal="average" baseField="0" baseItem="0" numFmtId="165"/>
    <dataField name="2. Firmare" fld="11" subtotal="average" baseField="0" baseItem="0" numFmtId="165"/>
    <dataField name="3. Box" fld="15" subtotal="average" baseField="0" baseItem="0" numFmtId="165"/>
    <dataField name="4. Shipping" fld="19" subtotal="average" baseField="0" baseItem="0" numFmtId="165"/>
  </dataFields>
  <formats count="14">
    <format dxfId="1277">
      <pivotArea type="all" dataOnly="0" outline="0" fieldPosition="0"/>
    </format>
    <format dxfId="1276">
      <pivotArea outline="0" collapsedLevelsAreSubtotals="1" fieldPosition="0"/>
    </format>
    <format dxfId="1275">
      <pivotArea field="23" type="button" dataOnly="0" labelOnly="1" outline="0"/>
    </format>
    <format dxfId="1274">
      <pivotArea dataOnly="0" labelOnly="1" grandRow="1" outline="0" fieldPosition="0"/>
    </format>
    <format dxfId="1273">
      <pivotArea dataOnly="0" labelOnly="1" outline="0" axis="axisValues" fieldPosition="0"/>
    </format>
    <format dxfId="1272">
      <pivotArea type="all" dataOnly="0" outline="0" fieldPosition="0"/>
    </format>
    <format dxfId="1271">
      <pivotArea outline="0" collapsedLevelsAreSubtotals="1" fieldPosition="0"/>
    </format>
    <format dxfId="1270">
      <pivotArea field="23" type="button" dataOnly="0" labelOnly="1" outline="0"/>
    </format>
    <format dxfId="1269">
      <pivotArea dataOnly="0" labelOnly="1" grandRow="1" outline="0" fieldPosition="0"/>
    </format>
    <format dxfId="1268">
      <pivotArea dataOnly="0" labelOnly="1" outline="0" axis="axisValues" fieldPosition="0"/>
    </format>
    <format dxfId="1267">
      <pivotArea outline="0" fieldPosition="0">
        <references count="1">
          <reference field="4294967294" count="1">
            <x v="0"/>
          </reference>
        </references>
      </pivotArea>
    </format>
    <format dxfId="1266">
      <pivotArea outline="0" fieldPosition="0">
        <references count="1">
          <reference field="4294967294" count="1">
            <x v="1"/>
          </reference>
        </references>
      </pivotArea>
    </format>
    <format dxfId="1265">
      <pivotArea outline="0" fieldPosition="0">
        <references count="1">
          <reference field="4294967294" count="1">
            <x v="2"/>
          </reference>
        </references>
      </pivotArea>
    </format>
    <format dxfId="1264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6D064B-C377-0B44-AFFF-04F2050BFD56}" name="Tabela dinâmica5" cacheId="10" applyNumberFormats="0" applyBorderFormats="0" applyFontFormats="0" applyPatternFormats="0" applyAlignmentFormats="0" applyWidthHeightFormats="1" dataCaption="Valores" grandTotalCaption="TOTAL" showError="1" updatedVersion="7" minRefreshableVersion="3" itemPrintTitles="1" mergeItem="1" createdVersion="7" indent="0" outline="1" outlineData="1" multipleFieldFilters="0" chartFormat="1" rowHeaderCaption="3. Box">
  <location ref="M29:N33" firstHeaderRow="1" firstDataRow="1" firstDataCol="1"/>
  <pivotFields count="24">
    <pivotField numFmtId="1" showAll="0">
      <items count="4">
        <item x="1"/>
        <item x="2"/>
        <item x="0"/>
        <item t="default"/>
      </items>
    </pivotField>
    <pivotField showAll="0"/>
    <pivotField dataField="1" showAll="0"/>
    <pivotField showAll="0"/>
    <pivotField showAll="0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Issues (%)" fld="2" subtotal="count" showDataAs="percent" baseField="16" baseItem="2" numFmtId="10"/>
  </dataFields>
  <formats count="12">
    <format dxfId="1289">
      <pivotArea type="all" dataOnly="0" outline="0" fieldPosition="0"/>
    </format>
    <format dxfId="1288">
      <pivotArea outline="0" collapsedLevelsAreSubtotals="1" fieldPosition="0"/>
    </format>
    <format dxfId="1287">
      <pivotArea field="16" type="button" dataOnly="0" labelOnly="1" outline="0" axis="axisRow" fieldPosition="0"/>
    </format>
    <format dxfId="1286">
      <pivotArea dataOnly="0" labelOnly="1" fieldPosition="0">
        <references count="1">
          <reference field="16" count="0"/>
        </references>
      </pivotArea>
    </format>
    <format dxfId="1285">
      <pivotArea dataOnly="0" labelOnly="1" grandRow="1" outline="0" fieldPosition="0"/>
    </format>
    <format dxfId="1284">
      <pivotArea dataOnly="0" labelOnly="1" outline="0" axis="axisValues" fieldPosition="0"/>
    </format>
    <format dxfId="1283">
      <pivotArea type="all" dataOnly="0" outline="0" fieldPosition="0"/>
    </format>
    <format dxfId="1282">
      <pivotArea outline="0" collapsedLevelsAreSubtotals="1" fieldPosition="0"/>
    </format>
    <format dxfId="1281">
      <pivotArea field="16" type="button" dataOnly="0" labelOnly="1" outline="0" axis="axisRow" fieldPosition="0"/>
    </format>
    <format dxfId="1280">
      <pivotArea dataOnly="0" labelOnly="1" fieldPosition="0">
        <references count="1">
          <reference field="16" count="0"/>
        </references>
      </pivotArea>
    </format>
    <format dxfId="1279">
      <pivotArea dataOnly="0" labelOnly="1" grandRow="1" outline="0" fieldPosition="0"/>
    </format>
    <format dxfId="1278">
      <pivotArea dataOnly="0" labelOnly="1" outline="0" axis="axisValues" fieldPosition="0"/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15C17E-348E-4D4C-915F-428CB321339F}" name="Tabela dinâmica1" cacheId="10" applyNumberFormats="0" applyBorderFormats="0" applyFontFormats="0" applyPatternFormats="0" applyAlignmentFormats="0" applyWidthHeightFormats="1" dataCaption="Valores" showError="1" missingCaption="0" updatedVersion="7" minRefreshableVersion="3" itemPrintTitles="1" mergeItem="1" createdVersion="7" indent="0" outline="1" outlineData="1" multipleFieldFilters="0" rowHeaderCaption="Stage" colHeaderCaption="Status">
  <location ref="A3:G25" firstHeaderRow="1" firstDataRow="3" firstDataCol="1"/>
  <pivotFields count="24">
    <pivotField numFmtId="1" showAll="0" insertBlankRow="1">
      <items count="4">
        <item x="1"/>
        <item x="2"/>
        <item x="0"/>
        <item t="default"/>
      </items>
    </pivotField>
    <pivotField showAll="0" insertBlankRow="1"/>
    <pivotField dataField="1" showAll="0" insertBlankRow="1"/>
    <pivotField dataField="1" showAll="0" insertBlankRow="1"/>
    <pivotField axis="axisRow" showAll="0" insertBlankRow="1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axis="axisCol" showAll="0" insertBlankRow="1">
      <items count="4">
        <item x="0"/>
        <item x="1"/>
        <item m="1" x="2"/>
        <item t="default"/>
      </items>
    </pivotField>
    <pivotField dragToRow="0" dragToCol="0" dragToPage="0" showAll="0" insertBlankRow="1" defaultSubtotal="0"/>
    <pivotField axis="axisRow" showAll="0" insertBlankRow="1">
      <items count="14">
        <item n="Production Not Started" x="0"/>
        <item x="1"/>
        <item x="2"/>
        <item x="3"/>
        <item x="4"/>
        <item x="5"/>
        <item x="6"/>
        <item x="7"/>
        <item x="8"/>
        <item n="Hardware" x="9"/>
        <item n="Firmware" x="10"/>
        <item n="Box" x="11"/>
        <item n="Shipping" x="12"/>
        <item t="default"/>
      </items>
    </pivotField>
  </pivotFields>
  <rowFields count="2">
    <field x="23"/>
    <field x="4"/>
  </rowFields>
  <rowItems count="20">
    <i>
      <x/>
    </i>
    <i r="1">
      <x/>
    </i>
    <i t="blank">
      <x/>
    </i>
    <i>
      <x v="9"/>
    </i>
    <i r="1">
      <x v="3"/>
    </i>
    <i r="1">
      <x v="4"/>
    </i>
    <i t="blank">
      <x v="9"/>
    </i>
    <i>
      <x v="10"/>
    </i>
    <i r="1">
      <x v="8"/>
    </i>
    <i r="1">
      <x v="9"/>
    </i>
    <i t="blank">
      <x v="10"/>
    </i>
    <i>
      <x v="11"/>
    </i>
    <i r="1">
      <x v="11"/>
    </i>
    <i r="1">
      <x v="12"/>
    </i>
    <i t="blank">
      <x v="11"/>
    </i>
    <i>
      <x v="12"/>
    </i>
    <i r="1">
      <x v="15"/>
    </i>
    <i r="1">
      <x v="16"/>
    </i>
    <i t="blank">
      <x v="12"/>
    </i>
    <i t="grand">
      <x/>
    </i>
  </rowItems>
  <colFields count="2">
    <field x="21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Sensors (un.)" fld="2" subtotal="count" baseField="0" baseItem="0"/>
    <dataField name="Sensors (%)" fld="3" subtotal="count" showDataAs="percentOfTotal" baseField="0" baseItem="0" numFmtId="10"/>
  </dataFields>
  <formats count="14">
    <format dxfId="1303">
      <pivotArea type="all" dataOnly="0" outline="0" fieldPosition="0"/>
    </format>
    <format dxfId="1302">
      <pivotArea outline="0" collapsedLevelsAreSubtotals="1" fieldPosition="0"/>
    </format>
    <format dxfId="1301">
      <pivotArea field="4" type="button" dataOnly="0" labelOnly="1" outline="0" axis="axisRow" fieldPosition="1"/>
    </format>
    <format dxfId="1300">
      <pivotArea dataOnly="0" labelOnly="1" fieldPosition="0">
        <references count="1">
          <reference field="4" count="0"/>
        </references>
      </pivotArea>
    </format>
    <format dxfId="1299">
      <pivotArea dataOnly="0" labelOnly="1" grandRow="1" outline="0" fieldPosition="0"/>
    </format>
    <format dxfId="1298">
      <pivotArea dataOnly="0" labelOnly="1" outline="0" axis="axisValues" fieldPosition="0"/>
    </format>
    <format dxfId="1297">
      <pivotArea type="all" dataOnly="0" outline="0" fieldPosition="0"/>
    </format>
    <format dxfId="1296">
      <pivotArea outline="0" collapsedLevelsAreSubtotals="1" fieldPosition="0"/>
    </format>
    <format dxfId="1295">
      <pivotArea field="4" type="button" dataOnly="0" labelOnly="1" outline="0" axis="axisRow" fieldPosition="1"/>
    </format>
    <format dxfId="1294">
      <pivotArea dataOnly="0" labelOnly="1" grandRow="1" outline="0" fieldPosition="0"/>
    </format>
    <format dxfId="1293">
      <pivotArea dataOnly="0" labelOnly="1" outline="0" axis="axisValues" fieldPosition="0"/>
    </format>
    <format dxfId="1292">
      <pivotArea dataOnly="0" labelOnly="1" fieldPosition="0">
        <references count="1">
          <reference field="4" count="0"/>
        </references>
      </pivotArea>
    </format>
    <format dxfId="1291">
      <pivotArea dataOnly="0" labelOnly="1" fieldPosition="0">
        <references count="1">
          <reference field="23" count="0"/>
        </references>
      </pivotArea>
    </format>
    <format dxfId="129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39FD5-A95D-6347-B9F1-F294A0A8425C}" name="TD_2" cacheId="10" applyNumberFormats="0" applyBorderFormats="0" applyFontFormats="0" applyPatternFormats="0" applyAlignmentFormats="0" applyWidthHeightFormats="1" dataCaption="Valores" grandTotalCaption="TOTAL" showError="1" updatedVersion="7" minRefreshableVersion="3" itemPrintTitles="1" mergeItem="1" createdVersion="7" indent="0" outline="1" outlineData="1" multipleFieldFilters="0" chartFormat="2" rowHeaderCaption="Stage" colHeaderCaption="Status">
  <location ref="M13:N16" firstHeaderRow="1" firstDataRow="1" firstDataCol="1"/>
  <pivotFields count="24">
    <pivotField numFmtId="1" showAll="0">
      <items count="4">
        <item x="1"/>
        <item x="2"/>
        <item x="0"/>
        <item t="default"/>
      </items>
    </pivotField>
    <pivotField showAll="0"/>
    <pivotField dataField="1" showAll="0"/>
    <pivotField showAll="0"/>
    <pivotField multipleItemSelectionAllowed="1" showAll="0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2"/>
        <item x="1"/>
        <item x="0"/>
        <item t="default"/>
      </items>
    </pivotField>
    <pivotField dragToRow="0" dragToCol="0" dragToPage="0" showAll="0" defaultSubtotal="0"/>
    <pivotField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</pivotFields>
  <rowFields count="1">
    <field x="21"/>
  </rowFields>
  <rowItems count="3">
    <i>
      <x v="1"/>
    </i>
    <i>
      <x v="2"/>
    </i>
    <i t="grand">
      <x/>
    </i>
  </rowItems>
  <colItems count="1">
    <i/>
  </colItems>
  <dataFields count="1">
    <dataField name="TOTAL" fld="2" subtotal="count" baseField="0" baseItem="0"/>
  </dataFields>
  <formats count="12">
    <format dxfId="1315">
      <pivotArea type="all" dataOnly="0" outline="0" fieldPosition="0"/>
    </format>
    <format dxfId="1314">
      <pivotArea outline="0" collapsedLevelsAreSubtotals="1" fieldPosition="0"/>
    </format>
    <format dxfId="1313">
      <pivotArea field="21" type="button" dataOnly="0" labelOnly="1" outline="0" axis="axisRow" fieldPosition="0"/>
    </format>
    <format dxfId="1312">
      <pivotArea dataOnly="0" labelOnly="1" fieldPosition="0">
        <references count="1">
          <reference field="21" count="2">
            <x v="1"/>
            <x v="2"/>
          </reference>
        </references>
      </pivotArea>
    </format>
    <format dxfId="1311">
      <pivotArea dataOnly="0" labelOnly="1" grandRow="1" outline="0" fieldPosition="0"/>
    </format>
    <format dxfId="1310">
      <pivotArea dataOnly="0" labelOnly="1" outline="0" axis="axisValues" fieldPosition="0"/>
    </format>
    <format dxfId="1309">
      <pivotArea type="all" dataOnly="0" outline="0" fieldPosition="0"/>
    </format>
    <format dxfId="1308">
      <pivotArea outline="0" collapsedLevelsAreSubtotals="1" fieldPosition="0"/>
    </format>
    <format dxfId="1307">
      <pivotArea field="21" type="button" dataOnly="0" labelOnly="1" outline="0" axis="axisRow" fieldPosition="0"/>
    </format>
    <format dxfId="1306">
      <pivotArea dataOnly="0" labelOnly="1" fieldPosition="0">
        <references count="1">
          <reference field="21" count="2">
            <x v="1"/>
            <x v="2"/>
          </reference>
        </references>
      </pivotArea>
    </format>
    <format dxfId="1305">
      <pivotArea dataOnly="0" labelOnly="1" grandRow="1" outline="0" fieldPosition="0"/>
    </format>
    <format dxfId="1304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21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2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DA121E-D6EB-9F4B-BB94-5E4D19FB6BEB}" name="TD_1" cacheId="10" applyNumberFormats="0" applyBorderFormats="0" applyFontFormats="0" applyPatternFormats="0" applyAlignmentFormats="0" applyWidthHeightFormats="1" dataCaption="Valores" grandTotalCaption="TOTAL" showError="1" updatedVersion="7" minRefreshableVersion="3" colGrandTotals="0" itemPrintTitles="1" mergeItem="1" createdVersion="7" indent="0" outline="1" outlineData="1" multipleFieldFilters="0" chartFormat="1" rowHeaderCaption="Production Overview" colHeaderCaption="Stage">
  <location ref="I3:K9" firstHeaderRow="0" firstDataRow="1" firstDataCol="1"/>
  <pivotFields count="24">
    <pivotField numFmtId="164" showAll="0" insertBlankRow="1">
      <items count="4">
        <item x="1"/>
        <item x="2"/>
        <item x="0"/>
        <item t="default"/>
      </items>
    </pivotField>
    <pivotField showAll="0" insertBlankRow="1"/>
    <pivotField dataField="1" showAll="0" insertBlankRow="1"/>
    <pivotField dataField="1" showAll="0" insertBlankRow="1"/>
    <pivotField showAll="0" insertBlankRow="1" sortType="ascending">
      <items count="18">
        <item x="0"/>
        <item m="1" x="12"/>
        <item m="1" x="9"/>
        <item x="1"/>
        <item x="2"/>
        <item m="1" x="16"/>
        <item m="1" x="14"/>
        <item m="1" x="10"/>
        <item x="3"/>
        <item x="4"/>
        <item m="1" x="13"/>
        <item x="5"/>
        <item x="6"/>
        <item m="1" x="11"/>
        <item m="1" x="15"/>
        <item x="7"/>
        <item x="8"/>
        <item t="default"/>
      </items>
    </pivotField>
    <pivotField numFmtId="14"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showAll="0" insertBlankRow="1"/>
    <pivotField dragToRow="0" dragToCol="0" dragToPage="0" showAll="0" insertBlankRow="1" defaultSubtotal="0"/>
    <pivotField axis="axisRow" showAll="0" insertBlankRow="1">
      <items count="14">
        <item n="Production Not Started" sd="0" x="0"/>
        <item x="4"/>
        <item x="1"/>
        <item n="Hardware" sd="0" x="9"/>
        <item x="8"/>
        <item x="6"/>
        <item x="2"/>
        <item n="Firmware" sd="0" x="10"/>
        <item x="5"/>
        <item n="Box" sd="0" x="11"/>
        <item x="3"/>
        <item x="7"/>
        <item n="Shipping" sd="0" x="12"/>
        <item t="default"/>
      </items>
    </pivotField>
  </pivotFields>
  <rowFields count="1">
    <field x="23"/>
  </rowFields>
  <rowItems count="6">
    <i>
      <x/>
    </i>
    <i>
      <x v="3"/>
    </i>
    <i>
      <x v="7"/>
    </i>
    <i>
      <x v="9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ensors (un.)" fld="2" subtotal="count" baseField="0" baseItem="0"/>
    <dataField name="Sensors (%)" fld="3" subtotal="count" showDataAs="percentOfTotal" baseField="0" baseItem="0" numFmtId="10"/>
  </dataFields>
  <formats count="23">
    <format dxfId="1338">
      <pivotArea field="0" type="button" dataOnly="0" labelOnly="1" outline="0"/>
    </format>
    <format dxfId="1337">
      <pivotArea type="all" dataOnly="0" outline="0" fieldPosition="0"/>
    </format>
    <format dxfId="1336">
      <pivotArea dataOnly="0" labelOnly="1" outline="0" axis="axisValues" fieldPosition="0"/>
    </format>
    <format dxfId="1335">
      <pivotArea type="all" dataOnly="0" outline="0" fieldPosition="0"/>
    </format>
    <format dxfId="1334">
      <pivotArea dataOnly="0" labelOnly="1" outline="0" axis="axisValues" fieldPosition="0"/>
    </format>
    <format dxfId="1333">
      <pivotArea type="all" dataOnly="0" outline="0" fieldPosition="0"/>
    </format>
    <format dxfId="1332">
      <pivotArea outline="0" collapsedLevelsAreSubtotals="1" fieldPosition="0"/>
    </format>
    <format dxfId="1331">
      <pivotArea type="origin" dataOnly="0" labelOnly="1" outline="0" fieldPosition="0"/>
    </format>
    <format dxfId="1330">
      <pivotArea field="4" type="button" dataOnly="0" labelOnly="1" outline="0"/>
    </format>
    <format dxfId="1329">
      <pivotArea field="-2" type="button" dataOnly="0" labelOnly="1" outline="0" axis="axisCol" fieldPosition="0"/>
    </format>
    <format dxfId="1328">
      <pivotArea type="topRight" dataOnly="0" labelOnly="1" outline="0" fieldPosition="0"/>
    </format>
    <format dxfId="1327">
      <pivotArea field="0" type="button" dataOnly="0" labelOnly="1" outline="0"/>
    </format>
    <format dxfId="1326">
      <pivotArea dataOnly="0" labelOnly="1" grandRow="1" outline="0" fieldPosition="0"/>
    </format>
    <format dxfId="1325">
      <pivotArea type="all" dataOnly="0" outline="0" fieldPosition="0"/>
    </format>
    <format dxfId="1324">
      <pivotArea outline="0" collapsedLevelsAreSubtotals="1" fieldPosition="0"/>
    </format>
    <format dxfId="1323">
      <pivotArea type="origin" dataOnly="0" labelOnly="1" outline="0" fieldPosition="0"/>
    </format>
    <format dxfId="1322">
      <pivotArea field="4" type="button" dataOnly="0" labelOnly="1" outline="0"/>
    </format>
    <format dxfId="1321">
      <pivotArea field="-2" type="button" dataOnly="0" labelOnly="1" outline="0" axis="axisCol" fieldPosition="0"/>
    </format>
    <format dxfId="1320">
      <pivotArea type="topRight" dataOnly="0" labelOnly="1" outline="0" fieldPosition="0"/>
    </format>
    <format dxfId="1319">
      <pivotArea field="0" type="button" dataOnly="0" labelOnly="1" outline="0"/>
    </format>
    <format dxfId="1318">
      <pivotArea dataOnly="0" labelOnly="1" grandRow="1" outline="0" fieldPosition="0"/>
    </format>
    <format dxfId="1317">
      <pivotArea outline="0" fieldPosition="0">
        <references count="1">
          <reference field="4294967294" count="1">
            <x v="1"/>
          </reference>
        </references>
      </pivotArea>
    </format>
    <format dxfId="1316">
      <pivotArea dataOnly="0" labelOnly="1" fieldPosition="0">
        <references count="1">
          <reference field="23" count="0"/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23" count="1" selected="0">
            <x v="1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1"/>
          </reference>
          <reference field="23" count="1" selected="0">
            <x v="0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1"/>
          </reference>
          <reference field="23" count="1" selected="0">
            <x v="3"/>
          </reference>
        </references>
      </pivotArea>
    </chartFormat>
    <chartFormat chart="0" format="19">
      <pivotArea type="data" outline="0" fieldPosition="0">
        <references count="2">
          <reference field="4294967294" count="1" selected="0">
            <x v="1"/>
          </reference>
          <reference field="23" count="1" selected="0">
            <x v="7"/>
          </reference>
        </references>
      </pivotArea>
    </chartFormat>
    <chartFormat chart="0" format="20">
      <pivotArea type="data" outline="0" fieldPosition="0">
        <references count="2">
          <reference field="4294967294" count="1" selected="0">
            <x v="1"/>
          </reference>
          <reference field="23" count="1" selected="0">
            <x v="9"/>
          </reference>
        </references>
      </pivotArea>
    </chartFormat>
    <chartFormat chart="0" format="21">
      <pivotArea type="data" outline="0" fieldPosition="0">
        <references count="2">
          <reference field="4294967294" count="1" selected="0">
            <x v="1"/>
          </reference>
          <reference field="23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InsertBlankRowDefault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tch" xr10:uid="{65EB251D-B118-864B-B302-A4594D9DC3A6}" sourceName="Batch">
  <pivotTables>
    <pivotTable tabId="2" name="TD_1"/>
    <pivotTable tabId="2" name="TD_2"/>
    <pivotTable tabId="2" name="Tabela dinâmica1"/>
    <pivotTable tabId="2" name="Tabela dinâmica4"/>
    <pivotTable tabId="2" name="Tabela dinâmica2"/>
    <pivotTable tabId="2" name="Tabela dinâmica3"/>
    <pivotTable tabId="2" name="Tabela dinâmica5"/>
    <pivotTable tabId="2" name="Tabela dinâmica6"/>
    <pivotTable tabId="2" name="Tabela dinâmica7"/>
  </pivotTables>
  <data>
    <tabular pivotCacheId="670166590">
      <items count="3"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ch" xr10:uid="{3E02583D-3AAA-0E43-BDDC-D2A207023D7B}" cache="SegmentaçãodeDados_Batch" caption="Batch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121D38-7FD1-9D4F-AF8B-2EC360A64AC4}" name="Tabela1" displayName="Tabela1" ref="A2:V102" totalsRowShown="0" headerRowDxfId="1361">
  <autoFilter ref="A2:V102" xr:uid="{0B121D38-7FD1-9D4F-AF8B-2EC360A64AC4}"/>
  <sortState xmlns:xlrd2="http://schemas.microsoft.com/office/spreadsheetml/2017/richdata2" ref="A3:V102">
    <sortCondition ref="E2:E102"/>
  </sortState>
  <tableColumns count="22">
    <tableColumn id="18" xr3:uid="{49720607-8F7B-094E-965A-11513022B1C7}" name="Batch" dataDxfId="1360"/>
    <tableColumn id="1" xr3:uid="{B843C0DD-58B4-6641-9580-281CC3BB89D1}" name="Chip Number" dataDxfId="1359"/>
    <tableColumn id="2" xr3:uid="{C40BB047-AE9E-4040-B155-14CC1D5A1DE8}" name="Sensor ID" dataDxfId="1358"/>
    <tableColumn id="3" xr3:uid="{78D352EC-2C0F-0A46-B32B-CCBB52696048}" name="Module ID" dataDxfId="1357"/>
    <tableColumn id="4" xr3:uid="{316BA18E-367E-AE4B-BE0A-28D2A9BFD8E2}" name="Stage" dataDxfId="1356">
      <calculatedColumnFormula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calculatedColumnFormula>
    </tableColumn>
    <tableColumn id="5" xr3:uid="{5B318EE6-6F54-A941-9C43-0E24484E5D13}" name="1. Start Date" dataDxfId="1355"/>
    <tableColumn id="6" xr3:uid="{6839C51F-D630-B946-9214-B6572A3D55C4}" name="1. End Date" dataDxfId="1354"/>
    <tableColumn id="19" xr3:uid="{FA3B8391-4B30-6A45-9253-50E75ED1010A}" name="1. Avg" dataDxfId="1353">
      <calculatedColumnFormula>IF(ISBLANK(Tabela1[[#This Row],[1. Start Date]]), "", IF(ISBLANK(Tabela1[[#This Row],[1. End Date]]), "", IF(Tabela1[[#This Row],[1. End Date]]-Tabela1[[#This Row],[1. Start Date]]&gt;0, Tabela1[[#This Row],[1. End Date]]-Tabela1[[#This Row],[1. Start Date]], "")))</calculatedColumnFormula>
    </tableColumn>
    <tableColumn id="7" xr3:uid="{1D3214BC-1C71-5846-A2E1-46E644623583}" name="1. Troubleshooting" dataDxfId="1352"/>
    <tableColumn id="8" xr3:uid="{AC2B04C2-F710-A640-80A0-CA4C4AD7A512}" name="2. Start Date" dataDxfId="1351"/>
    <tableColumn id="9" xr3:uid="{CA6C5E6F-8E0D-4B40-AC28-E9E3F759B9E5}" name="2. End Date" dataDxfId="1350"/>
    <tableColumn id="20" xr3:uid="{D06E5C1A-E37F-C045-9BE5-052AE7729B76}" name="2. Avg" dataDxfId="1349">
      <calculatedColumnFormula>IF(ISBLANK(Tabela1[[#This Row],[2. Start Date]]), "", IF(ISBLANK(Tabela1[[#This Row],[2. End Date]]), "", IF(Tabela1[[#This Row],[2. End Date]]-Tabela1[[#This Row],[2. Start Date]]&gt;0, Tabela1[[#This Row],[2. End Date]]-Tabela1[[#This Row],[2. Start Date]], "")))</calculatedColumnFormula>
    </tableColumn>
    <tableColumn id="10" xr3:uid="{917A5708-076C-EF48-846B-34D1DC919E21}" name="2. Troubleshooting" dataDxfId="1348"/>
    <tableColumn id="11" xr3:uid="{6837ABFB-A1B9-F44E-97BC-E4353DA83289}" name="3. Start Date" dataDxfId="1347"/>
    <tableColumn id="12" xr3:uid="{F2AEFD26-926F-1841-9A1C-DB23F2D189AD}" name="3. End Date" dataDxfId="1346"/>
    <tableColumn id="21" xr3:uid="{621C26FE-125A-2249-B9EE-17E0B9713F3C}" name="3. Avg" dataDxfId="1345">
      <calculatedColumnFormula>IF(ISBLANK(Tabela1[[#This Row],[3. Start Date]]), "", IF(ISBLANK(Tabela1[[#This Row],[3. End Date]]), "", IF(Tabela1[[#This Row],[3. End Date]]-Tabela1[[#This Row],[3. Start Date]]&gt;0, Tabela1[[#This Row],[3. End Date]]-Tabela1[[#This Row],[3. Start Date]], "")))</calculatedColumnFormula>
    </tableColumn>
    <tableColumn id="13" xr3:uid="{7B5D181D-774D-DC49-B471-A059EDF3FB0B}" name="3. Troubleshooting" dataDxfId="1344"/>
    <tableColumn id="14" xr3:uid="{595D7958-64F3-A149-B722-2169B9D5BB4E}" name="4. Start Date" dataDxfId="1343"/>
    <tableColumn id="15" xr3:uid="{FD396B64-522E-5049-8056-A38FCCB84F63}" name="4. End Date" dataDxfId="1342"/>
    <tableColumn id="22" xr3:uid="{C50BD6BB-96F0-7B44-AD05-CC65C01F8EE3}" name="4. Avg" dataDxfId="1341">
      <calculatedColumnFormula>IF(ISBLANK(Tabela1[[#This Row],[4. Start Date]]), "", IF(ISBLANK(Tabela1[[#This Row],[4. End Date]]), "", IF(Tabela1[[#This Row],[4. End Date]]-Tabela1[[#This Row],[4. Start Date]]&gt;0, Tabela1[[#This Row],[4. End Date]]-Tabela1[[#This Row],[4. Start Date]], "")))</calculatedColumnFormula>
    </tableColumn>
    <tableColumn id="16" xr3:uid="{0C560443-EBCC-8E4E-AECD-F984E3AC9F9A}" name="4. Troubleshooting" dataDxfId="1340"/>
    <tableColumn id="17" xr3:uid="{6455F8EF-35A5-DF48-950A-81E17021E1EC}" name="Status" dataDxfId="1339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microsoft.com/office/2007/relationships/slicer" Target="../slicers/slicer1.xml"/><Relationship Id="rId5" Type="http://schemas.openxmlformats.org/officeDocument/2006/relationships/pivotTable" Target="../pivotTables/pivotTable5.xml"/><Relationship Id="rId10" Type="http://schemas.openxmlformats.org/officeDocument/2006/relationships/drawing" Target="../drawings/drawing2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1AE3C-2D9E-C048-A771-23544D1DAB07}">
  <sheetPr codeName="Planilha1"/>
  <dimension ref="A1:AA102"/>
  <sheetViews>
    <sheetView tabSelected="1" workbookViewId="0">
      <pane xSplit="5" ySplit="2" topLeftCell="U3" activePane="bottomRight" state="frozen"/>
      <selection pane="topRight" activeCell="F1" sqref="F1"/>
      <selection pane="bottomLeft" activeCell="A3" sqref="A3"/>
      <selection pane="bottomRight" sqref="A1:E1"/>
    </sheetView>
  </sheetViews>
  <sheetFormatPr baseColWidth="10" defaultRowHeight="16" x14ac:dyDescent="0.2"/>
  <cols>
    <col min="1" max="1" width="12.83203125" style="11" customWidth="1"/>
    <col min="2" max="2" width="25.83203125" style="1" customWidth="1"/>
    <col min="3" max="3" width="40.83203125" style="1" customWidth="1"/>
    <col min="4" max="4" width="30.83203125" style="1" customWidth="1"/>
    <col min="5" max="5" width="25.83203125" style="8" customWidth="1"/>
    <col min="6" max="6" width="18.83203125" style="8" customWidth="1"/>
    <col min="7" max="7" width="18.83203125" style="1" customWidth="1"/>
    <col min="8" max="8" width="15.83203125" style="1" hidden="1" customWidth="1"/>
    <col min="9" max="9" width="28.83203125" style="8" customWidth="1"/>
    <col min="10" max="10" width="18.83203125" style="8" customWidth="1"/>
    <col min="11" max="11" width="18.83203125" style="1" customWidth="1"/>
    <col min="12" max="12" width="15.83203125" style="1" hidden="1" customWidth="1"/>
    <col min="13" max="13" width="28.83203125" style="8" customWidth="1"/>
    <col min="14" max="14" width="18.83203125" style="8" customWidth="1"/>
    <col min="15" max="15" width="18.83203125" style="1" customWidth="1"/>
    <col min="16" max="16" width="15.83203125" style="1" hidden="1" customWidth="1"/>
    <col min="17" max="17" width="28.83203125" style="8" customWidth="1"/>
    <col min="18" max="18" width="18.83203125" style="8" customWidth="1"/>
    <col min="19" max="19" width="18.83203125" style="1" customWidth="1"/>
    <col min="20" max="20" width="15.83203125" style="1" hidden="1" customWidth="1"/>
    <col min="21" max="21" width="28.83203125" style="1" customWidth="1"/>
    <col min="22" max="22" width="35.83203125" customWidth="1"/>
  </cols>
  <sheetData>
    <row r="1" spans="1:22" s="3" customFormat="1" ht="35" customHeight="1" x14ac:dyDescent="0.3">
      <c r="A1" s="30" t="s">
        <v>2</v>
      </c>
      <c r="B1" s="30"/>
      <c r="C1" s="30"/>
      <c r="D1" s="30"/>
      <c r="E1" s="30"/>
      <c r="F1" s="31" t="s">
        <v>9</v>
      </c>
      <c r="G1" s="31"/>
      <c r="H1" s="31"/>
      <c r="I1" s="31"/>
      <c r="J1" s="32" t="s">
        <v>8</v>
      </c>
      <c r="K1" s="32"/>
      <c r="L1" s="32"/>
      <c r="M1" s="32"/>
      <c r="N1" s="28" t="s">
        <v>13</v>
      </c>
      <c r="O1" s="28"/>
      <c r="P1" s="28"/>
      <c r="Q1" s="28"/>
      <c r="R1" s="29" t="s">
        <v>17</v>
      </c>
      <c r="S1" s="29"/>
      <c r="T1" s="29"/>
      <c r="U1" s="29"/>
      <c r="V1" s="7" t="s">
        <v>21</v>
      </c>
    </row>
    <row r="2" spans="1:22" s="5" customFormat="1" ht="22" customHeight="1" x14ac:dyDescent="0.25">
      <c r="A2" s="10" t="s">
        <v>23</v>
      </c>
      <c r="B2" s="4" t="s">
        <v>4</v>
      </c>
      <c r="C2" s="4" t="s">
        <v>0</v>
      </c>
      <c r="D2" s="4" t="s">
        <v>1</v>
      </c>
      <c r="E2" s="4" t="s">
        <v>3</v>
      </c>
      <c r="F2" s="6" t="s">
        <v>5</v>
      </c>
      <c r="G2" s="6" t="s">
        <v>6</v>
      </c>
      <c r="H2" s="6" t="s">
        <v>52</v>
      </c>
      <c r="I2" s="4" t="s">
        <v>7</v>
      </c>
      <c r="J2" s="6" t="s">
        <v>10</v>
      </c>
      <c r="K2" s="6" t="s">
        <v>11</v>
      </c>
      <c r="L2" s="6" t="s">
        <v>53</v>
      </c>
      <c r="M2" s="4" t="s">
        <v>12</v>
      </c>
      <c r="N2" s="6" t="s">
        <v>14</v>
      </c>
      <c r="O2" s="6" t="s">
        <v>15</v>
      </c>
      <c r="P2" s="6" t="s">
        <v>54</v>
      </c>
      <c r="Q2" s="4" t="s">
        <v>16</v>
      </c>
      <c r="R2" s="6" t="s">
        <v>18</v>
      </c>
      <c r="S2" s="6" t="s">
        <v>19</v>
      </c>
      <c r="T2" s="6" t="s">
        <v>55</v>
      </c>
      <c r="U2" s="4" t="s">
        <v>20</v>
      </c>
      <c r="V2" s="6" t="s">
        <v>22</v>
      </c>
    </row>
    <row r="3" spans="1:22" x14ac:dyDescent="0.2">
      <c r="A3" s="9">
        <v>3</v>
      </c>
      <c r="B3" s="2" t="str">
        <f>"+55 (11) 99563-9738"</f>
        <v>+55 (11) 99563-9738</v>
      </c>
      <c r="C3" s="1" t="str">
        <f>"0x28 0x36 0xB0 0x88 0xE6 0xA1 0x0B 0x0C"</f>
        <v>0x28 0x36 0xB0 0x88 0xE6 0xA1 0x0B 0x0C</v>
      </c>
      <c r="D3" s="1" t="str">
        <f>"0x50 0xFE 0xD3 0xAC 0x86 0xFE"</f>
        <v>0x50 0xFE 0xD3 0xAC 0x86 0xFE</v>
      </c>
      <c r="E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" s="8">
        <v>44676</v>
      </c>
      <c r="G3" s="8"/>
      <c r="H3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" s="1"/>
      <c r="K3" s="8"/>
      <c r="L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" s="1"/>
      <c r="O3" s="8"/>
      <c r="P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" s="1"/>
      <c r="S3" s="8"/>
      <c r="T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" s="20" t="s">
        <v>50</v>
      </c>
    </row>
    <row r="4" spans="1:22" x14ac:dyDescent="0.2">
      <c r="A4" s="9">
        <v>3</v>
      </c>
      <c r="B4" s="2" t="str">
        <f>"+55 (22) 98525-2455"</f>
        <v>+55 (22) 98525-2455</v>
      </c>
      <c r="C4" s="1" t="str">
        <f>"0x28 0x83 0xEF 0xE5 0x31 0x23 0x12 0x38"</f>
        <v>0x28 0x83 0xEF 0xE5 0x31 0x23 0x12 0x38</v>
      </c>
      <c r="D4" s="1" t="str">
        <f>"0x50 0x4D 0x27 0x67 0x1E 0xE7"</f>
        <v>0x50 0x4D 0x27 0x67 0x1E 0xE7</v>
      </c>
      <c r="E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4" s="8">
        <v>44676</v>
      </c>
      <c r="G4" s="8"/>
      <c r="H4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" s="1"/>
      <c r="K4" s="8"/>
      <c r="L4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" s="1"/>
      <c r="O4" s="8"/>
      <c r="P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" s="1"/>
      <c r="S4" s="8"/>
      <c r="T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" s="20" t="s">
        <v>50</v>
      </c>
    </row>
    <row r="5" spans="1:22" x14ac:dyDescent="0.2">
      <c r="A5" s="9">
        <v>3</v>
      </c>
      <c r="B5" s="2" t="str">
        <f>"+55 (37) 99496-3113"</f>
        <v>+55 (37) 99496-3113</v>
      </c>
      <c r="C5" s="1" t="str">
        <f>"0x28 0x48 0x17 0x88 0x10 0x3C 0xF8 0x42"</f>
        <v>0x28 0x48 0x17 0x88 0x10 0x3C 0xF8 0x42</v>
      </c>
      <c r="D5" s="1" t="str">
        <f>"0x50 0xE6 0xF0 0x2A 0x3C 0x91"</f>
        <v>0x50 0xE6 0xF0 0x2A 0x3C 0x91</v>
      </c>
      <c r="E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5" s="8">
        <v>44676</v>
      </c>
      <c r="G5" s="8"/>
      <c r="H5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5" s="1"/>
      <c r="K5" s="8"/>
      <c r="L5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" s="1"/>
      <c r="O5" s="8"/>
      <c r="P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" s="1"/>
      <c r="S5" s="8"/>
      <c r="T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" s="20" t="s">
        <v>50</v>
      </c>
    </row>
    <row r="6" spans="1:22" x14ac:dyDescent="0.2">
      <c r="A6" s="9">
        <v>3</v>
      </c>
      <c r="B6" s="2" t="str">
        <f>"+55 (49) 98543-5368"</f>
        <v>+55 (49) 98543-5368</v>
      </c>
      <c r="C6" s="1" t="str">
        <f>"0x28 0x9F 0xE9 0x29 0x1A 0x43 0x22 0x38"</f>
        <v>0x28 0x9F 0xE9 0x29 0x1A 0x43 0x22 0x38</v>
      </c>
      <c r="D6" s="1" t="str">
        <f>"0x50 0x04 0x8B 0xC2 0x70 0x66"</f>
        <v>0x50 0x04 0x8B 0xC2 0x70 0x66</v>
      </c>
      <c r="E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6" s="8">
        <v>44676</v>
      </c>
      <c r="G6" s="8"/>
      <c r="H6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6" s="1"/>
      <c r="K6" s="8"/>
      <c r="L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6" s="1"/>
      <c r="O6" s="8"/>
      <c r="P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" s="1"/>
      <c r="S6" s="8"/>
      <c r="T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" s="20" t="s">
        <v>50</v>
      </c>
    </row>
    <row r="7" spans="1:22" x14ac:dyDescent="0.2">
      <c r="A7" s="9">
        <v>3</v>
      </c>
      <c r="B7" s="2" t="str">
        <f>"+55 (62) 99271-8824"</f>
        <v>+55 (62) 99271-8824</v>
      </c>
      <c r="C7" s="1" t="str">
        <f>"0x28 0xD2 0xB8 0xCC 0x56 0x7C 0xD3 0xBE"</f>
        <v>0x28 0xD2 0xB8 0xCC 0x56 0x7C 0xD3 0xBE</v>
      </c>
      <c r="D7" s="1" t="str">
        <f>"0x50 0x4B 0x57 0x9D 0xBF 0x21"</f>
        <v>0x50 0x4B 0x57 0x9D 0xBF 0x21</v>
      </c>
      <c r="E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7" s="8">
        <v>44676</v>
      </c>
      <c r="G7" s="8"/>
      <c r="H7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7" s="1"/>
      <c r="K7" s="8"/>
      <c r="L7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7" s="1"/>
      <c r="O7" s="8"/>
      <c r="P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7" s="1"/>
      <c r="S7" s="8"/>
      <c r="T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7" s="20" t="s">
        <v>50</v>
      </c>
    </row>
    <row r="8" spans="1:22" x14ac:dyDescent="0.2">
      <c r="A8" s="9">
        <v>3</v>
      </c>
      <c r="B8" s="2" t="str">
        <f>"+55 (74) 99232-4936"</f>
        <v>+55 (74) 99232-4936</v>
      </c>
      <c r="C8" s="1" t="str">
        <f>"0x28 0x73 0xA7 0xF0 0x0B 0x34 0x19 0x2A"</f>
        <v>0x28 0x73 0xA7 0xF0 0x0B 0x34 0x19 0x2A</v>
      </c>
      <c r="D8" s="1" t="str">
        <f>"0x50 0x9D 0xEE 0x19 0x1B 0xBA"</f>
        <v>0x50 0x9D 0xEE 0x19 0x1B 0xBA</v>
      </c>
      <c r="E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8" s="8">
        <v>44676</v>
      </c>
      <c r="G8" s="8"/>
      <c r="H8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8" s="1"/>
      <c r="K8" s="8"/>
      <c r="L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8" s="1"/>
      <c r="O8" s="8"/>
      <c r="P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8" s="1"/>
      <c r="S8" s="8"/>
      <c r="T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8" s="20" t="s">
        <v>50</v>
      </c>
    </row>
    <row r="9" spans="1:22" x14ac:dyDescent="0.2">
      <c r="A9" s="9">
        <v>3</v>
      </c>
      <c r="B9" s="2" t="str">
        <f>"+55 (77) 98571-8771"</f>
        <v>+55 (77) 98571-8771</v>
      </c>
      <c r="C9" s="1" t="str">
        <f>"0x28 0x8E 0xA8 0x7E 0x03 0x35 0xA2 0x9D"</f>
        <v>0x28 0x8E 0xA8 0x7E 0x03 0x35 0xA2 0x9D</v>
      </c>
      <c r="D9" s="1" t="str">
        <f>"0x50 0x63 0xFA 0xB2 0x35 0x63"</f>
        <v>0x50 0x63 0xFA 0xB2 0x35 0x63</v>
      </c>
      <c r="E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9" s="8">
        <v>44676</v>
      </c>
      <c r="G9" s="8"/>
      <c r="H9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9" s="1"/>
      <c r="K9" s="8"/>
      <c r="L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9" s="1"/>
      <c r="O9" s="8"/>
      <c r="P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9" s="1"/>
      <c r="S9" s="8"/>
      <c r="T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9" s="20" t="s">
        <v>50</v>
      </c>
    </row>
    <row r="10" spans="1:22" x14ac:dyDescent="0.2">
      <c r="A10" s="9">
        <v>3</v>
      </c>
      <c r="B10" s="2" t="str">
        <f>"+55 (88) 99522-2046"</f>
        <v>+55 (88) 99522-2046</v>
      </c>
      <c r="C10" s="1" t="str">
        <f>"0x28 0xC6 0x7C 0xBF 0x2C 0xB6 0x27 0x24"</f>
        <v>0x28 0xC6 0x7C 0xBF 0x2C 0xB6 0x27 0x24</v>
      </c>
      <c r="D10" s="1" t="str">
        <f>"0x50 0x79 0xFF 0x37 0x0A 0x32"</f>
        <v>0x50 0x79 0xFF 0x37 0x0A 0x32</v>
      </c>
      <c r="E1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0" s="8">
        <v>44676</v>
      </c>
      <c r="G10" s="8"/>
      <c r="H10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0" s="1"/>
      <c r="K10" s="8"/>
      <c r="L10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0" s="1"/>
      <c r="O10" s="8"/>
      <c r="P1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0" s="1"/>
      <c r="S10" s="8"/>
      <c r="T1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0" s="20" t="s">
        <v>50</v>
      </c>
    </row>
    <row r="11" spans="1:22" x14ac:dyDescent="0.2">
      <c r="A11" s="9">
        <v>3</v>
      </c>
      <c r="B11" s="2" t="str">
        <f>"+55 (93) 99172-3375"</f>
        <v>+55 (93) 99172-3375</v>
      </c>
      <c r="C11" s="1" t="str">
        <f>"0x28 0xB1 0xAD 0xB2 0x82 0xA0 0xD5 0xB6"</f>
        <v>0x28 0xB1 0xAD 0xB2 0x82 0xA0 0xD5 0xB6</v>
      </c>
      <c r="D11" s="1" t="str">
        <f>"0x50 0xE5 0x90 0x3A 0x65 0x89"</f>
        <v>0x50 0xE5 0x90 0x3A 0x65 0x89</v>
      </c>
      <c r="E1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1" s="8">
        <v>44676</v>
      </c>
      <c r="G11" s="8"/>
      <c r="H11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1" s="1"/>
      <c r="K11" s="8"/>
      <c r="L11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1" s="1"/>
      <c r="O11" s="8"/>
      <c r="P1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1" s="1"/>
      <c r="S11" s="8"/>
      <c r="T1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1" s="20" t="s">
        <v>50</v>
      </c>
    </row>
    <row r="12" spans="1:22" x14ac:dyDescent="0.2">
      <c r="A12" s="9">
        <v>3</v>
      </c>
      <c r="B12" s="2" t="str">
        <f>"+55 (96) 99103-8485"</f>
        <v>+55 (96) 99103-8485</v>
      </c>
      <c r="C12" s="1" t="str">
        <f>"0x28 0x71 0x0F 0x54 0x3D 0xAE 0x84 0x30"</f>
        <v>0x28 0x71 0x0F 0x54 0x3D 0xAE 0x84 0x30</v>
      </c>
      <c r="D12" s="1" t="str">
        <f>"0x50 0xD1 0x22 0x20 0xA2 0x41"</f>
        <v>0x50 0xD1 0x22 0x20 0xA2 0x41</v>
      </c>
      <c r="E1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2" s="8">
        <v>44676</v>
      </c>
      <c r="G12" s="8"/>
      <c r="H12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2" s="1"/>
      <c r="K12" s="8"/>
      <c r="L12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2" s="1"/>
      <c r="O12" s="8"/>
      <c r="P1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2" s="1"/>
      <c r="S12" s="8"/>
      <c r="T1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2" s="20" t="s">
        <v>50</v>
      </c>
    </row>
    <row r="13" spans="1:22" x14ac:dyDescent="0.2">
      <c r="A13" s="9">
        <v>3</v>
      </c>
      <c r="B13" s="2" t="str">
        <f>"+55 (28) 98045-4669"</f>
        <v>+55 (28) 98045-4669</v>
      </c>
      <c r="C13" s="1" t="str">
        <f>"0x28 0x81 0xD1 0x46 0x04 0x78 0x8F 0xB5"</f>
        <v>0x28 0x81 0xD1 0x46 0x04 0x78 0x8F 0xB5</v>
      </c>
      <c r="D13" s="1" t="str">
        <f>"0x50 0x6D 0x80 0xE9 0xD3 0xF6"</f>
        <v>0x50 0x6D 0x80 0xE9 0xD3 0xF6</v>
      </c>
      <c r="E1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3" s="8">
        <v>44677</v>
      </c>
      <c r="G13" s="8"/>
      <c r="H13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3" s="1"/>
      <c r="K13" s="8"/>
      <c r="L1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3" s="1"/>
      <c r="O13" s="8"/>
      <c r="P1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3" s="1"/>
      <c r="S13" s="8"/>
      <c r="T1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3" s="20" t="s">
        <v>50</v>
      </c>
    </row>
    <row r="14" spans="1:22" x14ac:dyDescent="0.2">
      <c r="A14" s="9">
        <v>3</v>
      </c>
      <c r="B14" s="2" t="str">
        <f>"+55 (46) 98062-9166"</f>
        <v>+55 (46) 98062-9166</v>
      </c>
      <c r="C14" s="1" t="str">
        <f>"0x28 0x8A 0xAB 0xD1 0xFC 0xEE 0x1B 0xFD"</f>
        <v>0x28 0x8A 0xAB 0xD1 0xFC 0xEE 0x1B 0xFD</v>
      </c>
      <c r="D14" s="1" t="str">
        <f>"0x50 0x96 0xDC 0x4B 0x0C 0x73"</f>
        <v>0x50 0x96 0xDC 0x4B 0x0C 0x73</v>
      </c>
      <c r="E1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4" s="8">
        <v>44677</v>
      </c>
      <c r="G14" s="8"/>
      <c r="H14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4" s="1"/>
      <c r="K14" s="8"/>
      <c r="L14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4" s="1"/>
      <c r="O14" s="8"/>
      <c r="P1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4" s="1"/>
      <c r="S14" s="8"/>
      <c r="T1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4" s="20" t="s">
        <v>50</v>
      </c>
    </row>
    <row r="15" spans="1:22" x14ac:dyDescent="0.2">
      <c r="A15" s="9">
        <v>3</v>
      </c>
      <c r="B15" s="2" t="str">
        <f>"+55 (46) 98128-2133"</f>
        <v>+55 (46) 98128-2133</v>
      </c>
      <c r="C15" s="1" t="str">
        <f>"0x28 0xE0 0xF5 0xE0 0x2A 0x15 0xC4 0x0D"</f>
        <v>0x28 0xE0 0xF5 0xE0 0x2A 0x15 0xC4 0x0D</v>
      </c>
      <c r="D15" s="1" t="str">
        <f>"0x50 0xD8 0xBA 0xA4 0xA9 0xDD"</f>
        <v>0x50 0xD8 0xBA 0xA4 0xA9 0xDD</v>
      </c>
      <c r="E1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5" s="8">
        <v>44677</v>
      </c>
      <c r="G15" s="8"/>
      <c r="H15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5" s="1"/>
      <c r="K15" s="8"/>
      <c r="L15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5" s="1"/>
      <c r="O15" s="8"/>
      <c r="P1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5" s="1"/>
      <c r="S15" s="8"/>
      <c r="T1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5" s="20" t="s">
        <v>50</v>
      </c>
    </row>
    <row r="16" spans="1:22" x14ac:dyDescent="0.2">
      <c r="A16" s="9">
        <v>3</v>
      </c>
      <c r="B16" s="2" t="str">
        <f>"+55 (51) 98900-5885"</f>
        <v>+55 (51) 98900-5885</v>
      </c>
      <c r="C16" s="1" t="str">
        <f>"0x28 0xD9 0x9E 0x37 0x96 0xBC 0x4C 0xF2"</f>
        <v>0x28 0xD9 0x9E 0x37 0x96 0xBC 0x4C 0xF2</v>
      </c>
      <c r="D16" s="1" t="str">
        <f>"0x50 0xF5 0x98 0x49 0x19 0xC3"</f>
        <v>0x50 0xF5 0x98 0x49 0x19 0xC3</v>
      </c>
      <c r="E1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6" s="8">
        <v>44677</v>
      </c>
      <c r="G16" s="8"/>
      <c r="H16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6" s="1"/>
      <c r="K16" s="8"/>
      <c r="L1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6" s="1"/>
      <c r="O16" s="8"/>
      <c r="P1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6" s="1"/>
      <c r="S16" s="8"/>
      <c r="T1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6" s="20" t="s">
        <v>50</v>
      </c>
    </row>
    <row r="17" spans="1:22" x14ac:dyDescent="0.2">
      <c r="A17" s="9">
        <v>3</v>
      </c>
      <c r="B17" s="2" t="str">
        <f>"+55 (62) 99926-3914"</f>
        <v>+55 (62) 99926-3914</v>
      </c>
      <c r="C17" s="1" t="str">
        <f>"0x28 0x9F 0x7E 0xFC 0xD5 0xE5 0xDF 0x64"</f>
        <v>0x28 0x9F 0x7E 0xFC 0xD5 0xE5 0xDF 0x64</v>
      </c>
      <c r="D17" s="1" t="str">
        <f>"0x50 0xE5 0xBE 0x5B 0xCB 0xF1"</f>
        <v>0x50 0xE5 0xBE 0x5B 0xCB 0xF1</v>
      </c>
      <c r="E1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7" s="8">
        <v>44677</v>
      </c>
      <c r="G17" s="8"/>
      <c r="H17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7" s="1"/>
      <c r="K17" s="8"/>
      <c r="L17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7" s="1"/>
      <c r="O17" s="8"/>
      <c r="P1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7" s="1"/>
      <c r="S17" s="8"/>
      <c r="T1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7" s="20" t="s">
        <v>50</v>
      </c>
    </row>
    <row r="18" spans="1:22" x14ac:dyDescent="0.2">
      <c r="A18" s="9">
        <v>3</v>
      </c>
      <c r="B18" s="2" t="str">
        <f>"+55 (84) 99342-5302"</f>
        <v>+55 (84) 99342-5302</v>
      </c>
      <c r="C18" s="1" t="str">
        <f>"0x28 0x4C 0x5F 0x24 0x59 0x0F 0x7F 0x01"</f>
        <v>0x28 0x4C 0x5F 0x24 0x59 0x0F 0x7F 0x01</v>
      </c>
      <c r="D18" s="1" t="str">
        <f>"0x50 0x3F 0x78 0x6A 0xDC 0x3F"</f>
        <v>0x50 0x3F 0x78 0x6A 0xDC 0x3F</v>
      </c>
      <c r="E1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8" s="8">
        <v>44677</v>
      </c>
      <c r="G18" s="8"/>
      <c r="H18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8" s="1"/>
      <c r="K18" s="8"/>
      <c r="L1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8" s="1"/>
      <c r="O18" s="8"/>
      <c r="P1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8" s="1"/>
      <c r="S18" s="8"/>
      <c r="T1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8" s="20" t="s">
        <v>50</v>
      </c>
    </row>
    <row r="19" spans="1:22" x14ac:dyDescent="0.2">
      <c r="A19" s="9">
        <v>3</v>
      </c>
      <c r="B19" s="2" t="str">
        <f>"+55 (86) 99521-5129"</f>
        <v>+55 (86) 99521-5129</v>
      </c>
      <c r="C19" s="1" t="str">
        <f>"0x28 0x89 0x7A 0x62 0xBF 0x4A 0x25 0x29"</f>
        <v>0x28 0x89 0x7A 0x62 0xBF 0x4A 0x25 0x29</v>
      </c>
      <c r="D19" s="1" t="str">
        <f>"0x50 0xB5 0x62 0x91 0x84 0xC7"</f>
        <v>0x50 0xB5 0x62 0x91 0x84 0xC7</v>
      </c>
      <c r="E1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19" s="8">
        <v>44677</v>
      </c>
      <c r="G19" s="8"/>
      <c r="H19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19" s="1"/>
      <c r="K19" s="8"/>
      <c r="L1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19" s="1"/>
      <c r="O19" s="8"/>
      <c r="P1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19" s="1"/>
      <c r="S19" s="8"/>
      <c r="T1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19" s="20" t="s">
        <v>50</v>
      </c>
    </row>
    <row r="20" spans="1:22" x14ac:dyDescent="0.2">
      <c r="A20" s="9">
        <v>3</v>
      </c>
      <c r="B20" s="2" t="str">
        <f>"+55 (93) 98693-7621"</f>
        <v>+55 (93) 98693-7621</v>
      </c>
      <c r="C20" s="1" t="str">
        <f>"0x28 0x60 0x10 0x62 0x88 0x2D 0x69 0x51"</f>
        <v>0x28 0x60 0x10 0x62 0x88 0x2D 0x69 0x51</v>
      </c>
      <c r="D20" s="1" t="str">
        <f>"0x50 0x77 0x68 0x84 0x89 0x5D"</f>
        <v>0x50 0x77 0x68 0x84 0x89 0x5D</v>
      </c>
      <c r="E2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0" s="8">
        <v>44677</v>
      </c>
      <c r="G20" s="8"/>
      <c r="H20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0" s="1"/>
      <c r="K20" s="8"/>
      <c r="L20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0" s="1"/>
      <c r="O20" s="8"/>
      <c r="P2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0" s="1"/>
      <c r="S20" s="8"/>
      <c r="T2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0" s="20" t="s">
        <v>50</v>
      </c>
    </row>
    <row r="21" spans="1:22" x14ac:dyDescent="0.2">
      <c r="A21" s="9">
        <v>3</v>
      </c>
      <c r="B21" s="2" t="str">
        <f>"+55 (97) 99789-2141"</f>
        <v>+55 (97) 99789-2141</v>
      </c>
      <c r="C21" s="1" t="str">
        <f>"0x28 0xCA 0xC0 0x52 0xF9 0x22 0xB2 0xE8"</f>
        <v>0x28 0xCA 0xC0 0x52 0xF9 0x22 0xB2 0xE8</v>
      </c>
      <c r="D21" s="1" t="str">
        <f>"0x50 0xCA 0xD8 0xC3 0x61 0x6E"</f>
        <v>0x50 0xCA 0xD8 0xC3 0x61 0x6E</v>
      </c>
      <c r="E2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1" s="8">
        <v>44677</v>
      </c>
      <c r="G21" s="8"/>
      <c r="H21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1" s="1"/>
      <c r="K21" s="8"/>
      <c r="L21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1" s="1"/>
      <c r="O21" s="8"/>
      <c r="P2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1" s="1"/>
      <c r="S21" s="8"/>
      <c r="T2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1" s="20" t="s">
        <v>50</v>
      </c>
    </row>
    <row r="22" spans="1:22" x14ac:dyDescent="0.2">
      <c r="A22" s="9">
        <v>3</v>
      </c>
      <c r="B22" s="2" t="str">
        <f>"+55 (98) 98762-7716"</f>
        <v>+55 (98) 98762-7716</v>
      </c>
      <c r="C22" s="1" t="str">
        <f>"0x28 0xB2 0x77 0x66 0xCD 0x8E 0x91 0x88"</f>
        <v>0x28 0xB2 0x77 0x66 0xCD 0x8E 0x91 0x88</v>
      </c>
      <c r="D22" s="1" t="str">
        <f>"0x50 0xBD 0xCB 0x35 0x8E 0x23"</f>
        <v>0x50 0xBD 0xCB 0x35 0x8E 0x23</v>
      </c>
      <c r="E2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2" s="8">
        <v>44677</v>
      </c>
      <c r="G22" s="8"/>
      <c r="H22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2" s="1"/>
      <c r="K22" s="8"/>
      <c r="L22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2" s="1"/>
      <c r="O22" s="8"/>
      <c r="P2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2" s="1"/>
      <c r="S22" s="8"/>
      <c r="T2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2" s="20" t="s">
        <v>50</v>
      </c>
    </row>
    <row r="23" spans="1:22" x14ac:dyDescent="0.2">
      <c r="A23" s="9">
        <v>3</v>
      </c>
      <c r="B23" s="2" t="str">
        <f>"+55 (12) 98845-4876"</f>
        <v>+55 (12) 98845-4876</v>
      </c>
      <c r="C23" s="1" t="str">
        <f>"0x28 0x75 0x6D 0xD3 0x49 0xD5 0x96 0xC7"</f>
        <v>0x28 0x75 0x6D 0xD3 0x49 0xD5 0x96 0xC7</v>
      </c>
      <c r="D23" s="1" t="str">
        <f>"0x50 0xFF 0xC1 0xB8 0x16 0x3A"</f>
        <v>0x50 0xFF 0xC1 0xB8 0x16 0x3A</v>
      </c>
      <c r="E2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3" s="8">
        <v>44678</v>
      </c>
      <c r="G23" s="8"/>
      <c r="H23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3" s="1"/>
      <c r="K23" s="8"/>
      <c r="L2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3" s="1"/>
      <c r="O23" s="8"/>
      <c r="P2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3" s="1"/>
      <c r="S23" s="8"/>
      <c r="T2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3" s="20" t="s">
        <v>50</v>
      </c>
    </row>
    <row r="24" spans="1:22" x14ac:dyDescent="0.2">
      <c r="A24" s="9">
        <v>3</v>
      </c>
      <c r="B24" s="2" t="str">
        <f>"+55 (17) 99471-3523"</f>
        <v>+55 (17) 99471-3523</v>
      </c>
      <c r="C24" s="1" t="str">
        <f>"0x28 0x7A 0xD7 0x4A 0x90 0xC9 0x8D 0x1B"</f>
        <v>0x28 0x7A 0xD7 0x4A 0x90 0xC9 0x8D 0x1B</v>
      </c>
      <c r="D24" s="1" t="str">
        <f>"0x50 0x1E 0xFB 0xE2 0xBC 0x10"</f>
        <v>0x50 0x1E 0xFB 0xE2 0xBC 0x10</v>
      </c>
      <c r="E2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4" s="8">
        <v>44678</v>
      </c>
      <c r="G24" s="8"/>
      <c r="H24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4" s="1"/>
      <c r="K24" s="8"/>
      <c r="L24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4" s="1"/>
      <c r="O24" s="8"/>
      <c r="P2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4" s="1"/>
      <c r="S24" s="8"/>
      <c r="T2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4" s="20" t="s">
        <v>50</v>
      </c>
    </row>
    <row r="25" spans="1:22" x14ac:dyDescent="0.2">
      <c r="A25" s="9">
        <v>3</v>
      </c>
      <c r="B25" s="2" t="str">
        <f>"+55 (42) 99901-3318"</f>
        <v>+55 (42) 99901-3318</v>
      </c>
      <c r="C25" s="1" t="str">
        <f>"0x28 0x5D 0x21 0xE0 0x4C 0xCB 0x9E 0xA9"</f>
        <v>0x28 0x5D 0x21 0xE0 0x4C 0xCB 0x9E 0xA9</v>
      </c>
      <c r="D25" s="1" t="str">
        <f>"0x50 0x91 0xCF 0x37 0x75 0x14"</f>
        <v>0x50 0x91 0xCF 0x37 0x75 0x14</v>
      </c>
      <c r="E2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5" s="8">
        <v>44678</v>
      </c>
      <c r="G25" s="8"/>
      <c r="H25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5" s="1"/>
      <c r="K25" s="8"/>
      <c r="L25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5" s="1"/>
      <c r="O25" s="8"/>
      <c r="P2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5" s="1"/>
      <c r="S25" s="8"/>
      <c r="T2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5" s="20" t="s">
        <v>50</v>
      </c>
    </row>
    <row r="26" spans="1:22" x14ac:dyDescent="0.2">
      <c r="A26" s="9">
        <v>3</v>
      </c>
      <c r="B26" s="2" t="str">
        <f>"+55 (62) 98039-0632"</f>
        <v>+55 (62) 98039-0632</v>
      </c>
      <c r="C26" s="1" t="str">
        <f>"0x28 0xEB 0x29 0x33 0x9C 0xDA 0xB7 0x9F"</f>
        <v>0x28 0xEB 0x29 0x33 0x9C 0xDA 0xB7 0x9F</v>
      </c>
      <c r="D26" s="1" t="str">
        <f>"0x50 0x2D 0x2C 0x11 0xCA 0xF5"</f>
        <v>0x50 0x2D 0x2C 0x11 0xCA 0xF5</v>
      </c>
      <c r="E2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6" s="8">
        <v>44678</v>
      </c>
      <c r="G26" s="8"/>
      <c r="H26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6" s="1"/>
      <c r="K26" s="8"/>
      <c r="L2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6" s="1"/>
      <c r="O26" s="8"/>
      <c r="P2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6" s="1"/>
      <c r="S26" s="8"/>
      <c r="T2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6" s="20" t="s">
        <v>50</v>
      </c>
    </row>
    <row r="27" spans="1:22" x14ac:dyDescent="0.2">
      <c r="A27" s="9">
        <v>3</v>
      </c>
      <c r="B27" s="2" t="str">
        <f>"+55 (62) 99945-8094"</f>
        <v>+55 (62) 99945-8094</v>
      </c>
      <c r="C27" s="1" t="str">
        <f>"0x28 0x19 0x1C 0xD8 0x3A 0xED 0x36 0x72"</f>
        <v>0x28 0x19 0x1C 0xD8 0x3A 0xED 0x36 0x72</v>
      </c>
      <c r="D27" s="1" t="str">
        <f>"0x50 0x99 0xE3 0x5A 0x38 0x43"</f>
        <v>0x50 0x99 0xE3 0x5A 0x38 0x43</v>
      </c>
      <c r="E2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7" s="8">
        <v>44678</v>
      </c>
      <c r="G27" s="8"/>
      <c r="H27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7" s="1"/>
      <c r="K27" s="8"/>
      <c r="L27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7" s="1"/>
      <c r="O27" s="8"/>
      <c r="P2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7" s="1"/>
      <c r="S27" s="8"/>
      <c r="T2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7" s="20" t="s">
        <v>50</v>
      </c>
    </row>
    <row r="28" spans="1:22" x14ac:dyDescent="0.2">
      <c r="A28" s="9">
        <v>3</v>
      </c>
      <c r="B28" s="2" t="str">
        <f>"+55 (63) 98219-0361"</f>
        <v>+55 (63) 98219-0361</v>
      </c>
      <c r="C28" s="1" t="str">
        <f>"0x28 0x8C 0x13 0x60 0x6C 0x54 0x77 0x4F"</f>
        <v>0x28 0x8C 0x13 0x60 0x6C 0x54 0x77 0x4F</v>
      </c>
      <c r="D28" s="1" t="str">
        <f>"0x50 0xDF 0xD3 0x39 0x41 0xCB"</f>
        <v>0x50 0xDF 0xD3 0x39 0x41 0xCB</v>
      </c>
      <c r="E2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8" s="8">
        <v>44678</v>
      </c>
      <c r="G28" s="8"/>
      <c r="H28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8" s="1"/>
      <c r="K28" s="8"/>
      <c r="L2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8" s="1"/>
      <c r="O28" s="8"/>
      <c r="P2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8" s="1"/>
      <c r="S28" s="8"/>
      <c r="T2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8" s="20" t="s">
        <v>50</v>
      </c>
    </row>
    <row r="29" spans="1:22" x14ac:dyDescent="0.2">
      <c r="A29" s="9">
        <v>3</v>
      </c>
      <c r="B29" s="2" t="str">
        <f>"+55 (69) 98114-1901"</f>
        <v>+55 (69) 98114-1901</v>
      </c>
      <c r="C29" s="1" t="str">
        <f>"0x28 0x25 0x09 0x60 0x71 0x39 0x58 0xCF"</f>
        <v>0x28 0x25 0x09 0x60 0x71 0x39 0x58 0xCF</v>
      </c>
      <c r="D29" s="1" t="str">
        <f>"0x50 0x1C 0x25 0x8B 0x65 0x72"</f>
        <v>0x50 0x1C 0x25 0x8B 0x65 0x72</v>
      </c>
      <c r="E2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29" s="8">
        <v>44678</v>
      </c>
      <c r="G29" s="8"/>
      <c r="H29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29" s="1"/>
      <c r="K29" s="8"/>
      <c r="L2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29" s="1"/>
      <c r="O29" s="8"/>
      <c r="P2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29" s="1"/>
      <c r="S29" s="8"/>
      <c r="T2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29" s="20" t="s">
        <v>50</v>
      </c>
    </row>
    <row r="30" spans="1:22" x14ac:dyDescent="0.2">
      <c r="A30" s="9">
        <v>3</v>
      </c>
      <c r="B30" s="2" t="str">
        <f>"+55 (76) 99481-5337"</f>
        <v>+55 (76) 99481-5337</v>
      </c>
      <c r="C30" s="1" t="str">
        <f>"0x28 0xA6 0x6C 0x99 0xE8 0xC8 0x09 0xD4"</f>
        <v>0x28 0xA6 0x6C 0x99 0xE8 0xC8 0x09 0xD4</v>
      </c>
      <c r="D30" s="1" t="str">
        <f>"0x50 0xBB 0xB3 0xE8 0x30 0x9A"</f>
        <v>0x50 0xBB 0xB3 0xE8 0x30 0x9A</v>
      </c>
      <c r="E3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0" s="8">
        <v>44678</v>
      </c>
      <c r="G30" s="8"/>
      <c r="H30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0" s="1"/>
      <c r="K30" s="8"/>
      <c r="L30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0" s="1"/>
      <c r="O30" s="8"/>
      <c r="P3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0" s="1"/>
      <c r="S30" s="8"/>
      <c r="T3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0" s="20" t="s">
        <v>50</v>
      </c>
    </row>
    <row r="31" spans="1:22" x14ac:dyDescent="0.2">
      <c r="A31" s="9">
        <v>3</v>
      </c>
      <c r="B31" s="2" t="str">
        <f>"+55 (85) 98872-7698"</f>
        <v>+55 (85) 98872-7698</v>
      </c>
      <c r="C31" s="1" t="str">
        <f>"0x28 0x8A 0xB1 0x2F 0xB1 0xCD 0x74 0xC8"</f>
        <v>0x28 0x8A 0xB1 0x2F 0xB1 0xCD 0x74 0xC8</v>
      </c>
      <c r="D31" s="1" t="str">
        <f>"0x50 0xE2 0x98 0x19 0x7F 0xA3"</f>
        <v>0x50 0xE2 0x98 0x19 0x7F 0xA3</v>
      </c>
      <c r="E3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1" s="8">
        <v>44678</v>
      </c>
      <c r="G31" s="8"/>
      <c r="H31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1" s="1"/>
      <c r="K31" s="8"/>
      <c r="L31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1" s="1"/>
      <c r="O31" s="8"/>
      <c r="P3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1" s="1"/>
      <c r="S31" s="8"/>
      <c r="T3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1" s="20" t="s">
        <v>50</v>
      </c>
    </row>
    <row r="32" spans="1:22" x14ac:dyDescent="0.2">
      <c r="A32" s="9">
        <v>3</v>
      </c>
      <c r="B32" s="2" t="str">
        <f>"+55 (88) 99137-8921"</f>
        <v>+55 (88) 99137-8921</v>
      </c>
      <c r="C32" s="1" t="str">
        <f>"0x28 0xF2 0xF2 0x8A 0x0A 0xFA 0xA3 0xC7"</f>
        <v>0x28 0xF2 0xF2 0x8A 0x0A 0xFA 0xA3 0xC7</v>
      </c>
      <c r="D32" s="1" t="str">
        <f>"0x50 0x72 0xAB 0x6E 0x9E 0xF4"</f>
        <v>0x50 0x72 0xAB 0x6E 0x9E 0xF4</v>
      </c>
      <c r="E3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2" s="8">
        <v>44678</v>
      </c>
      <c r="G32" s="8"/>
      <c r="H32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2" s="1"/>
      <c r="K32" s="8"/>
      <c r="L32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2" s="1"/>
      <c r="O32" s="8"/>
      <c r="P3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2" s="1"/>
      <c r="S32" s="8"/>
      <c r="T3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2" s="20" t="s">
        <v>50</v>
      </c>
    </row>
    <row r="33" spans="1:22" x14ac:dyDescent="0.2">
      <c r="A33" s="9">
        <v>3</v>
      </c>
      <c r="B33" s="2" t="str">
        <f>"+55 (11) 99601-6304"</f>
        <v>+55 (11) 99601-6304</v>
      </c>
      <c r="C33" s="1" t="str">
        <f>"0x28 0xE7 0x1E 0xE3 0x90 0x18 0x42 0x90"</f>
        <v>0x28 0xE7 0x1E 0xE3 0x90 0x18 0x42 0x90</v>
      </c>
      <c r="D33" s="1" t="str">
        <f>"0x50 0xC9 0xE8 0x8D 0xEB 0xE4"</f>
        <v>0x50 0xC9 0xE8 0x8D 0xEB 0xE4</v>
      </c>
      <c r="E3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3" s="8">
        <v>44801</v>
      </c>
      <c r="G33" s="8"/>
      <c r="H33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3" s="1"/>
      <c r="K33" s="8"/>
      <c r="L3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3" s="1"/>
      <c r="O33" s="8"/>
      <c r="P3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3" s="1"/>
      <c r="S33" s="8"/>
      <c r="T3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3" s="20" t="s">
        <v>50</v>
      </c>
    </row>
    <row r="34" spans="1:22" x14ac:dyDescent="0.2">
      <c r="A34" s="9">
        <v>3</v>
      </c>
      <c r="B34" s="2" t="str">
        <f>"+55 (17) 99579-5581"</f>
        <v>+55 (17) 99579-5581</v>
      </c>
      <c r="C34" s="1" t="str">
        <f>"0x28 0x4C 0x2C 0x03 0x53 0xDB 0x0A 0x9F"</f>
        <v>0x28 0x4C 0x2C 0x03 0x53 0xDB 0x0A 0x9F</v>
      </c>
      <c r="D34" s="1" t="str">
        <f>"0x50 0xE5 0x82 0x25 0xED 0xD5"</f>
        <v>0x50 0xE5 0x82 0x25 0xED 0xD5</v>
      </c>
      <c r="E3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4" s="8">
        <v>44801</v>
      </c>
      <c r="G34" s="8"/>
      <c r="H34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4" s="1"/>
      <c r="K34" s="8"/>
      <c r="L34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4" s="1"/>
      <c r="O34" s="8"/>
      <c r="P3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4" s="1"/>
      <c r="S34" s="8"/>
      <c r="T3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4" s="20" t="s">
        <v>50</v>
      </c>
    </row>
    <row r="35" spans="1:22" x14ac:dyDescent="0.2">
      <c r="A35" s="9">
        <v>3</v>
      </c>
      <c r="B35" s="2" t="str">
        <f>"+55 (24) 99952-2518"</f>
        <v>+55 (24) 99952-2518</v>
      </c>
      <c r="C35" s="1" t="str">
        <f>"0x28 0x5D 0x85 0x83 0xD4 0x39 0x4B 0x51"</f>
        <v>0x28 0x5D 0x85 0x83 0xD4 0x39 0x4B 0x51</v>
      </c>
      <c r="D35" s="1" t="str">
        <f>"0x50 0x59 0x0B 0x3D 0xDF 0x93"</f>
        <v>0x50 0x59 0x0B 0x3D 0xDF 0x93</v>
      </c>
      <c r="E3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5" s="8">
        <v>44801</v>
      </c>
      <c r="G35" s="8"/>
      <c r="H35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5" s="1"/>
      <c r="K35" s="8"/>
      <c r="L35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5" s="1"/>
      <c r="O35" s="8"/>
      <c r="P3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5" s="1"/>
      <c r="S35" s="8"/>
      <c r="T3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5" s="20" t="s">
        <v>50</v>
      </c>
    </row>
    <row r="36" spans="1:22" x14ac:dyDescent="0.2">
      <c r="A36" s="9">
        <v>3</v>
      </c>
      <c r="B36" s="2" t="str">
        <f>"+55 (31) 98105-0054"</f>
        <v>+55 (31) 98105-0054</v>
      </c>
      <c r="C36" s="1" t="str">
        <f>"0x28 0x04 0x5A 0xCA 0x2D 0x34 0x0C 0x05"</f>
        <v>0x28 0x04 0x5A 0xCA 0x2D 0x34 0x0C 0x05</v>
      </c>
      <c r="D36" s="1" t="str">
        <f>"0x50 0xD8 0xC0 0x5B 0xAD 0x01"</f>
        <v>0x50 0xD8 0xC0 0x5B 0xAD 0x01</v>
      </c>
      <c r="E3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6" s="8">
        <v>44801</v>
      </c>
      <c r="G36" s="8"/>
      <c r="H36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6" s="1"/>
      <c r="K36" s="8"/>
      <c r="L3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6" s="1"/>
      <c r="O36" s="8"/>
      <c r="P3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6" s="1"/>
      <c r="S36" s="8"/>
      <c r="T3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6" s="20" t="s">
        <v>50</v>
      </c>
    </row>
    <row r="37" spans="1:22" x14ac:dyDescent="0.2">
      <c r="A37" s="9">
        <v>3</v>
      </c>
      <c r="B37" s="2" t="str">
        <f>"+55 (37) 99585-4087"</f>
        <v>+55 (37) 99585-4087</v>
      </c>
      <c r="C37" s="1" t="str">
        <f>"0x28 0x3F 0x9D 0x80 0xF5 0xED 0x76 0x25"</f>
        <v>0x28 0x3F 0x9D 0x80 0xF5 0xED 0x76 0x25</v>
      </c>
      <c r="D37" s="1" t="str">
        <f>"0x50 0x94 0x35 0x2A 0x4B 0xE7"</f>
        <v>0x50 0x94 0x35 0x2A 0x4B 0xE7</v>
      </c>
      <c r="E3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7" s="8">
        <v>44801</v>
      </c>
      <c r="G37" s="8"/>
      <c r="H37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7" s="1"/>
      <c r="K37" s="8"/>
      <c r="L37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7" s="1"/>
      <c r="O37" s="8"/>
      <c r="P3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7" s="1"/>
      <c r="S37" s="8"/>
      <c r="T3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7" s="20" t="s">
        <v>50</v>
      </c>
    </row>
    <row r="38" spans="1:22" x14ac:dyDescent="0.2">
      <c r="A38" s="9">
        <v>3</v>
      </c>
      <c r="B38" s="2" t="str">
        <f>"+55 (43) 98595-1209"</f>
        <v>+55 (43) 98595-1209</v>
      </c>
      <c r="C38" s="1" t="str">
        <f>"0x28 0x9F 0x04 0xA9 0x3E 0xE1 0xBC 0x1C"</f>
        <v>0x28 0x9F 0x04 0xA9 0x3E 0xE1 0xBC 0x1C</v>
      </c>
      <c r="D38" s="1" t="str">
        <f>"0x50 0xEA 0x6F 0x79 0x5C 0x13"</f>
        <v>0x50 0xEA 0x6F 0x79 0x5C 0x13</v>
      </c>
      <c r="E3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8" s="8">
        <v>44801</v>
      </c>
      <c r="G38" s="8"/>
      <c r="H38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8" s="1"/>
      <c r="K38" s="8"/>
      <c r="L3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8" s="1"/>
      <c r="O38" s="8"/>
      <c r="P3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8" s="1"/>
      <c r="S38" s="8"/>
      <c r="T3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8" s="20" t="s">
        <v>50</v>
      </c>
    </row>
    <row r="39" spans="1:22" x14ac:dyDescent="0.2">
      <c r="A39" s="9">
        <v>3</v>
      </c>
      <c r="B39" s="2" t="str">
        <f>"+55 (73) 98467-0782"</f>
        <v>+55 (73) 98467-0782</v>
      </c>
      <c r="C39" s="1" t="str">
        <f>"0x28 0xE9 0xD4 0xAF 0xB5 0x35 0xD1 0x1F"</f>
        <v>0x28 0xE9 0xD4 0xAF 0xB5 0x35 0xD1 0x1F</v>
      </c>
      <c r="D39" s="1" t="str">
        <f>"0x50 0xCC 0xC0 0x11 0xE5 0x37"</f>
        <v>0x50 0xCC 0xC0 0x11 0xE5 0x37</v>
      </c>
      <c r="E3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39" s="8">
        <v>44801</v>
      </c>
      <c r="G39" s="8"/>
      <c r="H39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39" s="1"/>
      <c r="K39" s="8"/>
      <c r="L3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39" s="1"/>
      <c r="O39" s="8"/>
      <c r="P3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39" s="1"/>
      <c r="S39" s="8"/>
      <c r="T3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39" s="20" t="s">
        <v>50</v>
      </c>
    </row>
    <row r="40" spans="1:22" x14ac:dyDescent="0.2">
      <c r="A40" s="9">
        <v>3</v>
      </c>
      <c r="B40" s="2" t="str">
        <f>"+55 (83) 98278-6310"</f>
        <v>+55 (83) 98278-6310</v>
      </c>
      <c r="C40" s="1" t="str">
        <f>"0x28 0x65 0xF4 0xAD 0xE8 0x72 0xCC 0x4F"</f>
        <v>0x28 0x65 0xF4 0xAD 0xE8 0x72 0xCC 0x4F</v>
      </c>
      <c r="D40" s="1" t="str">
        <f>"0x50 0x1E 0x89 0xB2 0x6E 0x8D"</f>
        <v>0x50 0x1E 0x89 0xB2 0x6E 0x8D</v>
      </c>
      <c r="E4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40" s="8">
        <v>44801</v>
      </c>
      <c r="G40" s="8"/>
      <c r="H40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0" s="1"/>
      <c r="K40" s="8"/>
      <c r="L40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0" s="1"/>
      <c r="O40" s="8"/>
      <c r="P4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0" s="1"/>
      <c r="S40" s="8"/>
      <c r="T4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0" s="20" t="s">
        <v>50</v>
      </c>
    </row>
    <row r="41" spans="1:22" x14ac:dyDescent="0.2">
      <c r="A41" s="9">
        <v>3</v>
      </c>
      <c r="B41" s="2" t="str">
        <f>"+55 (85) 98863-7588"</f>
        <v>+55 (85) 98863-7588</v>
      </c>
      <c r="C41" s="1" t="str">
        <f>"0x28 0x8F 0xA6 0xD8 0x9E 0x99 0x01 0xD1"</f>
        <v>0x28 0x8F 0xA6 0xD8 0x9E 0x99 0x01 0xD1</v>
      </c>
      <c r="D41" s="1" t="str">
        <f>"0x50 0x47 0xCE 0xE9 0x10 0xD7"</f>
        <v>0x50 0x47 0xCE 0xE9 0x10 0xD7</v>
      </c>
      <c r="E4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41" s="8">
        <v>44801</v>
      </c>
      <c r="G41" s="8"/>
      <c r="H41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1" s="1"/>
      <c r="K41" s="8"/>
      <c r="L41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1" s="1"/>
      <c r="O41" s="8"/>
      <c r="P4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1" s="1"/>
      <c r="S41" s="8"/>
      <c r="T4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1" s="20" t="s">
        <v>50</v>
      </c>
    </row>
    <row r="42" spans="1:22" x14ac:dyDescent="0.2">
      <c r="A42" s="9">
        <v>3</v>
      </c>
      <c r="B42" s="2" t="str">
        <f>"+55 (87) 99561-4579"</f>
        <v>+55 (87) 99561-4579</v>
      </c>
      <c r="C42" s="1" t="str">
        <f>"0x28 0xB0 0xB3 0xEC 0xA8 0xC5 0xCA 0x36"</f>
        <v>0x28 0xB0 0xB3 0xEC 0xA8 0xC5 0xCA 0x36</v>
      </c>
      <c r="D42" s="1" t="str">
        <f>"0x50 0x15 0x8C 0x58 0x53 0x5E"</f>
        <v>0x50 0x15 0x8C 0x58 0x53 0x5E</v>
      </c>
      <c r="E4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0. Production Not Started</v>
      </c>
      <c r="F42" s="8">
        <v>44801</v>
      </c>
      <c r="G42" s="8"/>
      <c r="H42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2" s="1"/>
      <c r="K42" s="8"/>
      <c r="L42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2" s="1"/>
      <c r="O42" s="8"/>
      <c r="P4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2" s="1"/>
      <c r="S42" s="8"/>
      <c r="T4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2" s="20" t="s">
        <v>50</v>
      </c>
    </row>
    <row r="43" spans="1:22" x14ac:dyDescent="0.2">
      <c r="A43" s="9">
        <v>1</v>
      </c>
      <c r="B43" s="2" t="str">
        <f>"+55 (91) 98013-6502"</f>
        <v>+55 (91) 98013-6502</v>
      </c>
      <c r="C43" s="1" t="str">
        <f>"0x28 0x90 0xCE 0xB7 0x23 0x5A 0xA0 0xCA"</f>
        <v>0x28 0x90 0xCE 0xB7 0x23 0x5A 0xA0 0xCA</v>
      </c>
      <c r="D43" s="1" t="str">
        <f>"0x30 0x46 0x95 0xD3 0xE2 0x6E"</f>
        <v>0x30 0x46 0x95 0xD3 0xE2 0x6E</v>
      </c>
      <c r="E4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3" s="8">
        <v>44649</v>
      </c>
      <c r="G43" s="8"/>
      <c r="H43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3" s="1" t="s">
        <v>24</v>
      </c>
      <c r="K43" s="8"/>
      <c r="L4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3" s="1"/>
      <c r="O43" s="8"/>
      <c r="P4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3" s="1"/>
      <c r="S43" s="8"/>
      <c r="T4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3" s="20" t="s">
        <v>50</v>
      </c>
    </row>
    <row r="44" spans="1:22" x14ac:dyDescent="0.2">
      <c r="A44" s="9">
        <v>2</v>
      </c>
      <c r="B44" s="2" t="str">
        <f>"+55 (32) 98313-3125"</f>
        <v>+55 (32) 98313-3125</v>
      </c>
      <c r="C44" s="1" t="str">
        <f>"0x28 0x3A 0x95 0x23 0x66 0x3F 0xD0 0xD6"</f>
        <v>0x28 0x3A 0x95 0x23 0x66 0x3F 0xD0 0xD6</v>
      </c>
      <c r="D44" s="1" t="str">
        <f>"0x40 0xC0 0xC4 0xED 0x27 0x51"</f>
        <v>0x40 0xC0 0xC4 0xED 0x27 0x51</v>
      </c>
      <c r="E4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4" s="8">
        <v>44663</v>
      </c>
      <c r="G44" s="8"/>
      <c r="H44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4" s="1" t="s">
        <v>28</v>
      </c>
      <c r="K44" s="8"/>
      <c r="L44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4" s="1"/>
      <c r="O44" s="8"/>
      <c r="P4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4" s="1"/>
      <c r="S44" s="8"/>
      <c r="T4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4" s="20" t="s">
        <v>50</v>
      </c>
    </row>
    <row r="45" spans="1:22" x14ac:dyDescent="0.2">
      <c r="A45" s="9">
        <v>2</v>
      </c>
      <c r="B45" s="2" t="str">
        <f>"+55 (14) 98389-4804"</f>
        <v>+55 (14) 98389-4804</v>
      </c>
      <c r="C45" s="1" t="str">
        <f>"0x28 0x38 0xBE 0x12 0x0C 0x55 0x9F 0xEE"</f>
        <v>0x28 0x38 0xBE 0x12 0x0C 0x55 0x9F 0xEE</v>
      </c>
      <c r="D45" s="1" t="str">
        <f>"0x40 0xC1 0x72 0x5C 0x15 0x9E"</f>
        <v>0x40 0xC1 0x72 0x5C 0x15 0x9E</v>
      </c>
      <c r="E4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5" s="8">
        <v>44664</v>
      </c>
      <c r="G45" s="8"/>
      <c r="H45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5" s="1" t="s">
        <v>28</v>
      </c>
      <c r="K45" s="8"/>
      <c r="L45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5" s="1"/>
      <c r="O45" s="8"/>
      <c r="P4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5" s="1"/>
      <c r="S45" s="8"/>
      <c r="T4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5" s="20" t="s">
        <v>50</v>
      </c>
    </row>
    <row r="46" spans="1:22" x14ac:dyDescent="0.2">
      <c r="A46" s="9">
        <v>2</v>
      </c>
      <c r="B46" s="2" t="str">
        <f>"+55 (14) 99978-4963"</f>
        <v>+55 (14) 99978-4963</v>
      </c>
      <c r="C46" s="1" t="str">
        <f>"0x28 0x35 0xA5 0x78 0x0A 0xF9 0xEB 0x50"</f>
        <v>0x28 0x35 0xA5 0x78 0x0A 0xF9 0xEB 0x50</v>
      </c>
      <c r="D46" s="1" t="str">
        <f>"0x40 0x1D 0x65 0x49 0xAC 0xD5"</f>
        <v>0x40 0x1D 0x65 0x49 0xAC 0xD5</v>
      </c>
      <c r="E4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6" s="8">
        <v>44664</v>
      </c>
      <c r="G46" s="8"/>
      <c r="H46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6" s="1" t="s">
        <v>28</v>
      </c>
      <c r="K46" s="8"/>
      <c r="L4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6" s="1"/>
      <c r="O46" s="8"/>
      <c r="P4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6" s="1"/>
      <c r="S46" s="8"/>
      <c r="T4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6" s="20" t="s">
        <v>50</v>
      </c>
    </row>
    <row r="47" spans="1:22" x14ac:dyDescent="0.2">
      <c r="A47" s="9">
        <v>2</v>
      </c>
      <c r="B47" s="2" t="str">
        <f>"+55 (16) 99115-8270"</f>
        <v>+55 (16) 99115-8270</v>
      </c>
      <c r="C47" s="1" t="str">
        <f>"0x28 0x2B 0xDF 0x87 0xC1 0x07 0x02 0xB9"</f>
        <v>0x28 0x2B 0xDF 0x87 0xC1 0x07 0x02 0xB9</v>
      </c>
      <c r="D47" s="1" t="str">
        <f>"0x40 0xDB 0x33 0xC5 0x03 0x87"</f>
        <v>0x40 0xDB 0x33 0xC5 0x03 0x87</v>
      </c>
      <c r="E4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7" s="8">
        <v>44664</v>
      </c>
      <c r="G47" s="8"/>
      <c r="H47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7" s="1" t="s">
        <v>28</v>
      </c>
      <c r="K47" s="8"/>
      <c r="L47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7" s="1"/>
      <c r="O47" s="8"/>
      <c r="P4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7" s="1"/>
      <c r="S47" s="8"/>
      <c r="T4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7" s="20" t="s">
        <v>50</v>
      </c>
    </row>
    <row r="48" spans="1:22" x14ac:dyDescent="0.2">
      <c r="A48" s="9">
        <v>2</v>
      </c>
      <c r="B48" s="2" t="str">
        <f>"+55 (46) 98798-1262"</f>
        <v>+55 (46) 98798-1262</v>
      </c>
      <c r="C48" s="1" t="str">
        <f>"0x28 0x07 0x8D 0xD1 0x5E 0x14 0x1C 0x45"</f>
        <v>0x28 0x07 0x8D 0xD1 0x5E 0x14 0x1C 0x45</v>
      </c>
      <c r="D48" s="1" t="str">
        <f>"0x40 0x89 0xDF 0xEC 0xCD 0x79"</f>
        <v>0x40 0x89 0xDF 0xEC 0xCD 0x79</v>
      </c>
      <c r="E4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8" s="8">
        <v>44664</v>
      </c>
      <c r="G48" s="8"/>
      <c r="H48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8" s="1" t="s">
        <v>28</v>
      </c>
      <c r="K48" s="8"/>
      <c r="L4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8" s="1"/>
      <c r="O48" s="8"/>
      <c r="P4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8" s="1"/>
      <c r="S48" s="8"/>
      <c r="T4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8" s="20" t="s">
        <v>50</v>
      </c>
    </row>
    <row r="49" spans="1:22" x14ac:dyDescent="0.2">
      <c r="A49" s="9">
        <v>2</v>
      </c>
      <c r="B49" s="2" t="str">
        <f>"+55 (82) 98122-4903"</f>
        <v>+55 (82) 98122-4903</v>
      </c>
      <c r="C49" s="1" t="str">
        <f>"0x28 0x8B 0x57 0xCF 0x55 0x32 0xF0 0xCC"</f>
        <v>0x28 0x8B 0x57 0xCF 0x55 0x32 0xF0 0xCC</v>
      </c>
      <c r="D49" s="1" t="str">
        <f>"0x40 0x32 0xD2 0xF9 0x02 0x56"</f>
        <v>0x40 0x32 0xD2 0xF9 0x02 0x56</v>
      </c>
      <c r="E4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49" s="8">
        <v>44664</v>
      </c>
      <c r="G49" s="8"/>
      <c r="H49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49" s="1" t="s">
        <v>28</v>
      </c>
      <c r="K49" s="8"/>
      <c r="L4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49" s="1"/>
      <c r="O49" s="8"/>
      <c r="P4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49" s="1"/>
      <c r="S49" s="8"/>
      <c r="T4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49" s="20" t="s">
        <v>50</v>
      </c>
    </row>
    <row r="50" spans="1:22" x14ac:dyDescent="0.2">
      <c r="A50" s="9">
        <v>2</v>
      </c>
      <c r="B50" s="2" t="str">
        <f>"+55 (96) 99868-5780"</f>
        <v>+55 (96) 99868-5780</v>
      </c>
      <c r="C50" s="1" t="str">
        <f>"0x28 0xF7 0xAC 0xD9 0xF6 0x43 0xCE 0xCD"</f>
        <v>0x28 0xF7 0xAC 0xD9 0xF6 0x43 0xCE 0xCD</v>
      </c>
      <c r="D50" s="1" t="str">
        <f>"0x40 0xCA 0x43 0x1C 0xC9 0x5C"</f>
        <v>0x40 0xCA 0x43 0x1C 0xC9 0x5C</v>
      </c>
      <c r="E5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50" s="8">
        <v>44664</v>
      </c>
      <c r="G50" s="8"/>
      <c r="H50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50" s="1" t="s">
        <v>28</v>
      </c>
      <c r="K50" s="8"/>
      <c r="L50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0" s="1"/>
      <c r="O50" s="8"/>
      <c r="P5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0" s="1"/>
      <c r="S50" s="8"/>
      <c r="T5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0" s="20" t="s">
        <v>50</v>
      </c>
    </row>
    <row r="51" spans="1:22" x14ac:dyDescent="0.2">
      <c r="A51" s="9">
        <v>2</v>
      </c>
      <c r="B51" s="2" t="str">
        <f>"+55 (22) 99382-0805"</f>
        <v>+55 (22) 99382-0805</v>
      </c>
      <c r="C51" s="1" t="str">
        <f>"0x28 0x34 0x3A 0x3E 0x5C 0x9B 0x6C 0x03"</f>
        <v>0x28 0x34 0x3A 0x3E 0x5C 0x9B 0x6C 0x03</v>
      </c>
      <c r="D51" s="1" t="str">
        <f>"0x40 0x61 0x2C 0x1A 0xBB 0xB6"</f>
        <v>0x40 0x61 0x2C 0x1A 0xBB 0xB6</v>
      </c>
      <c r="E5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51" s="8">
        <v>44665</v>
      </c>
      <c r="G51" s="8"/>
      <c r="H51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51" s="1" t="s">
        <v>28</v>
      </c>
      <c r="K51" s="8"/>
      <c r="L51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1" s="1"/>
      <c r="O51" s="8"/>
      <c r="P5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1" s="1"/>
      <c r="S51" s="8"/>
      <c r="T5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1" s="20" t="s">
        <v>50</v>
      </c>
    </row>
    <row r="52" spans="1:22" x14ac:dyDescent="0.2">
      <c r="A52" s="9">
        <v>2</v>
      </c>
      <c r="B52" s="2" t="str">
        <f>"+55 (24) 99047-2739"</f>
        <v>+55 (24) 99047-2739</v>
      </c>
      <c r="C52" s="1" t="str">
        <f>"0x28 0x13 0xEC 0xE8 0xB7 0xA0 0x28 0xEA"</f>
        <v>0x28 0x13 0xEC 0xE8 0xB7 0xA0 0x28 0xEA</v>
      </c>
      <c r="D52" s="1" t="str">
        <f>"0x40 0x7D 0xEB 0xFC 0x69 0x9A"</f>
        <v>0x40 0x7D 0xEB 0xFC 0x69 0x9A</v>
      </c>
      <c r="E5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52" s="8">
        <v>44665</v>
      </c>
      <c r="G52" s="8"/>
      <c r="H52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52" s="1" t="s">
        <v>28</v>
      </c>
      <c r="K52" s="8"/>
      <c r="L52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2" s="1"/>
      <c r="O52" s="8"/>
      <c r="P5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2" s="1"/>
      <c r="S52" s="8"/>
      <c r="T5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2" s="20" t="s">
        <v>50</v>
      </c>
    </row>
    <row r="53" spans="1:22" x14ac:dyDescent="0.2">
      <c r="A53" s="9">
        <v>2</v>
      </c>
      <c r="B53" s="2" t="str">
        <f>"+55 (68) 99847-9786"</f>
        <v>+55 (68) 99847-9786</v>
      </c>
      <c r="C53" s="1" t="str">
        <f>"0x28 0x71 0xFC 0x5E 0x6A 0x7F 0x9C 0x12"</f>
        <v>0x28 0x71 0xFC 0x5E 0x6A 0x7F 0x9C 0x12</v>
      </c>
      <c r="D53" s="1" t="str">
        <f>"0x40 0x51 0x83 0x72 0x92 0xE4"</f>
        <v>0x40 0x51 0x83 0x72 0x92 0xE4</v>
      </c>
      <c r="E5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53" s="8">
        <v>44666</v>
      </c>
      <c r="G53" s="8"/>
      <c r="H53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53" s="1" t="s">
        <v>30</v>
      </c>
      <c r="K53" s="8"/>
      <c r="L5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3" s="1"/>
      <c r="O53" s="8"/>
      <c r="P5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3" s="1"/>
      <c r="S53" s="8"/>
      <c r="T5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3" s="20" t="s">
        <v>50</v>
      </c>
    </row>
    <row r="54" spans="1:22" x14ac:dyDescent="0.2">
      <c r="A54" s="9">
        <v>2</v>
      </c>
      <c r="B54" s="2" t="str">
        <f>"+55 (49) 98278-1324"</f>
        <v>+55 (49) 98278-1324</v>
      </c>
      <c r="C54" s="1" t="str">
        <f>"0x28 0x55 0xD3 0x99 0x2F 0xD7 0x29 0x64"</f>
        <v>0x28 0x55 0xD3 0x99 0x2F 0xD7 0x29 0x64</v>
      </c>
      <c r="D54" s="1" t="str">
        <f>"0x40 0xA9 0xB2 0xC4 0xAB 0x6C"</f>
        <v>0x40 0xA9 0xB2 0xC4 0xAB 0x6C</v>
      </c>
      <c r="E5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1.1 Assembling Hardware</v>
      </c>
      <c r="F54" s="8">
        <v>44669</v>
      </c>
      <c r="G54" s="8"/>
      <c r="H54" s="17" t="str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/>
      </c>
      <c r="I54" s="1" t="s">
        <v>29</v>
      </c>
      <c r="K54" s="8"/>
      <c r="L54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4" s="1"/>
      <c r="O54" s="8"/>
      <c r="P5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4" s="1"/>
      <c r="S54" s="8"/>
      <c r="T5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4" s="20" t="s">
        <v>50</v>
      </c>
    </row>
    <row r="55" spans="1:22" x14ac:dyDescent="0.2">
      <c r="A55" s="9">
        <v>2</v>
      </c>
      <c r="B55" s="2" t="str">
        <f>"+55 (14) 98030-6623"</f>
        <v>+55 (14) 98030-6623</v>
      </c>
      <c r="C55" s="1" t="str">
        <f>"0x28 0x08 0x9F 0x8E 0x3A 0x7E 0xD4 0xB4"</f>
        <v>0x28 0x08 0x9F 0x8E 0x3A 0x7E 0xD4 0xB4</v>
      </c>
      <c r="D55" s="1" t="str">
        <f>"0x40 0xBF 0xA9 0x26 0xC1 0xCF"</f>
        <v>0x40 0xBF 0xA9 0x26 0xC1 0xCF</v>
      </c>
      <c r="E5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55" s="8">
        <v>44663</v>
      </c>
      <c r="G55" s="8">
        <v>44672</v>
      </c>
      <c r="H55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55" s="1"/>
      <c r="K55" s="8"/>
      <c r="L55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5" s="1" t="s">
        <v>28</v>
      </c>
      <c r="O55" s="8"/>
      <c r="P5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5" s="1"/>
      <c r="S55" s="8"/>
      <c r="T5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5" s="20" t="s">
        <v>50</v>
      </c>
    </row>
    <row r="56" spans="1:22" x14ac:dyDescent="0.2">
      <c r="A56" s="9">
        <v>2</v>
      </c>
      <c r="B56" s="2" t="str">
        <f>"+55 (14) 98610-0704"</f>
        <v>+55 (14) 98610-0704</v>
      </c>
      <c r="C56" s="1" t="str">
        <f>"0x28 0xF7 0xF1 0xB6 0x19 0x45 0x31 0x78"</f>
        <v>0x28 0xF7 0xF1 0xB6 0x19 0x45 0x31 0x78</v>
      </c>
      <c r="D56" s="1" t="str">
        <f>"0x40 0x33 0xA4 0x0E 0x64 0x42"</f>
        <v>0x40 0x33 0xA4 0x0E 0x64 0x42</v>
      </c>
      <c r="E5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56" s="8">
        <v>44663</v>
      </c>
      <c r="G56" s="8">
        <v>44672</v>
      </c>
      <c r="H56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56" s="1"/>
      <c r="K56" s="8"/>
      <c r="L5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6" s="1" t="s">
        <v>28</v>
      </c>
      <c r="O56" s="8"/>
      <c r="P5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6" s="1"/>
      <c r="S56" s="8"/>
      <c r="T5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6" s="20" t="s">
        <v>50</v>
      </c>
    </row>
    <row r="57" spans="1:22" x14ac:dyDescent="0.2">
      <c r="A57" s="9">
        <v>2</v>
      </c>
      <c r="B57" s="2" t="str">
        <f>"+55 (15) 98358-7175"</f>
        <v>+55 (15) 98358-7175</v>
      </c>
      <c r="C57" s="1" t="str">
        <f>"0x28 0x52 0x67 0x46 0x3F 0x7B 0x6B 0x9E"</f>
        <v>0x28 0x52 0x67 0x46 0x3F 0x7B 0x6B 0x9E</v>
      </c>
      <c r="D57" s="1" t="str">
        <f>"0x40 0xF6 0xF5 0x57 0xDD 0xB3"</f>
        <v>0x40 0xF6 0xF5 0x57 0xDD 0xB3</v>
      </c>
      <c r="E5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57" s="8">
        <v>44663</v>
      </c>
      <c r="G57" s="8">
        <v>44672</v>
      </c>
      <c r="H57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57" s="1"/>
      <c r="K57" s="8"/>
      <c r="L57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7" s="1" t="s">
        <v>28</v>
      </c>
      <c r="O57" s="8"/>
      <c r="P5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7" s="1"/>
      <c r="S57" s="8"/>
      <c r="T5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7" s="20" t="s">
        <v>50</v>
      </c>
    </row>
    <row r="58" spans="1:22" x14ac:dyDescent="0.2">
      <c r="A58" s="9">
        <v>2</v>
      </c>
      <c r="B58" s="2" t="str">
        <f>"+55 (16) 99503-5813"</f>
        <v>+55 (16) 99503-5813</v>
      </c>
      <c r="C58" s="1" t="str">
        <f>"0x28 0xAC 0x19 0x30 0x3B 0x28 0xA9 0x31"</f>
        <v>0x28 0xAC 0x19 0x30 0x3B 0x28 0xA9 0x31</v>
      </c>
      <c r="D58" s="1" t="str">
        <f>"0x40 0xDD 0xF8 0x41 0xC9 0x03"</f>
        <v>0x40 0xDD 0xF8 0x41 0xC9 0x03</v>
      </c>
      <c r="E5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58" s="8">
        <v>44663</v>
      </c>
      <c r="G58" s="8">
        <v>44672</v>
      </c>
      <c r="H58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58" s="1"/>
      <c r="K58" s="8"/>
      <c r="L5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8" s="1" t="s">
        <v>28</v>
      </c>
      <c r="O58" s="8"/>
      <c r="P5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8" s="1"/>
      <c r="S58" s="8"/>
      <c r="T5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8" s="20" t="s">
        <v>50</v>
      </c>
    </row>
    <row r="59" spans="1:22" x14ac:dyDescent="0.2">
      <c r="A59" s="9">
        <v>2</v>
      </c>
      <c r="B59" s="2" t="str">
        <f>"+55 (54) 98801-6631"</f>
        <v>+55 (54) 98801-6631</v>
      </c>
      <c r="C59" s="1" t="str">
        <f>"0x28 0x3F 0x1A 0x06 0xDE 0x76 0x23 0x84"</f>
        <v>0x28 0x3F 0x1A 0x06 0xDE 0x76 0x23 0x84</v>
      </c>
      <c r="D59" s="1" t="str">
        <f>"0x40 0x76 0x6E 0xCF 0x44 0x5D"</f>
        <v>0x40 0x76 0x6E 0xCF 0x44 0x5D</v>
      </c>
      <c r="E5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59" s="8">
        <v>44663</v>
      </c>
      <c r="G59" s="8">
        <v>44672</v>
      </c>
      <c r="H59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59" s="1"/>
      <c r="K59" s="8"/>
      <c r="L5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59" s="1" t="s">
        <v>28</v>
      </c>
      <c r="O59" s="8"/>
      <c r="P5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59" s="1"/>
      <c r="S59" s="8"/>
      <c r="T5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59" s="20" t="s">
        <v>50</v>
      </c>
    </row>
    <row r="60" spans="1:22" x14ac:dyDescent="0.2">
      <c r="A60" s="9">
        <v>2</v>
      </c>
      <c r="B60" s="2" t="str">
        <f>"+55 (66) 99223-5109"</f>
        <v>+55 (66) 99223-5109</v>
      </c>
      <c r="C60" s="1" t="str">
        <f>"0x28 0xAB 0x99 0xB8 0x38 0x83 0x26 0xAD"</f>
        <v>0x28 0xAB 0x99 0xB8 0x38 0x83 0x26 0xAD</v>
      </c>
      <c r="D60" s="1" t="str">
        <f>"0x40 0xDB 0x36 0xE2 0x04 0x66"</f>
        <v>0x40 0xDB 0x36 0xE2 0x04 0x66</v>
      </c>
      <c r="E6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60" s="8">
        <v>44663</v>
      </c>
      <c r="G60" s="8">
        <v>44672</v>
      </c>
      <c r="H60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60" s="1"/>
      <c r="K60" s="8"/>
      <c r="L60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60" s="1" t="s">
        <v>28</v>
      </c>
      <c r="O60" s="8"/>
      <c r="P6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0" s="1"/>
      <c r="S60" s="8"/>
      <c r="T6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0" s="20" t="s">
        <v>50</v>
      </c>
    </row>
    <row r="61" spans="1:22" x14ac:dyDescent="0.2">
      <c r="A61" s="9">
        <v>2</v>
      </c>
      <c r="B61" s="2" t="str">
        <f>"+55 (92) 98392-8500"</f>
        <v>+55 (92) 98392-8500</v>
      </c>
      <c r="C61" s="1" t="str">
        <f>"0x28 0x03 0xA3 0x12 0x81 0x4E 0x10 0x68"</f>
        <v>0x28 0x03 0xA3 0x12 0x81 0x4E 0x10 0x68</v>
      </c>
      <c r="D61" s="1" t="str">
        <f>"0x40 0x21 0x37 0x76 0x91 0xC6"</f>
        <v>0x40 0x21 0x37 0x76 0x91 0xC6</v>
      </c>
      <c r="E6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1.2 Hardware Assembled</v>
      </c>
      <c r="F61" s="8">
        <v>44663</v>
      </c>
      <c r="G61" s="8">
        <v>44672</v>
      </c>
      <c r="H61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61" s="1"/>
      <c r="K61" s="8"/>
      <c r="L61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61" s="1" t="s">
        <v>28</v>
      </c>
      <c r="O61" s="8"/>
      <c r="P6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1" s="1"/>
      <c r="S61" s="8"/>
      <c r="T6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1" s="20" t="s">
        <v>50</v>
      </c>
    </row>
    <row r="62" spans="1:22" x14ac:dyDescent="0.2">
      <c r="A62" s="9">
        <v>1</v>
      </c>
      <c r="B62" s="2" t="str">
        <f>"+55 (63) 99479-7915"</f>
        <v>+55 (63) 99479-7915</v>
      </c>
      <c r="C62" s="1" t="str">
        <f>"0x28 0xB3 0x27 0x56 0x77 0x7F 0xA8 0xE2"</f>
        <v>0x28 0xB3 0x27 0x56 0x77 0x7F 0xA8 0xE2</v>
      </c>
      <c r="D62" s="1" t="str">
        <f>"0x30 0x44 0x7C 0x5F 0xA2 0xD6"</f>
        <v>0x30 0x44 0x7C 0x5F 0xA2 0xD6</v>
      </c>
      <c r="E6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2.1 Uploading Firmware</v>
      </c>
      <c r="F62" s="8">
        <v>44651</v>
      </c>
      <c r="G62" s="8">
        <v>44662</v>
      </c>
      <c r="H62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11</v>
      </c>
      <c r="I62" s="1"/>
      <c r="J62" s="8">
        <v>44663</v>
      </c>
      <c r="K62" s="8"/>
      <c r="L62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62" s="1" t="s">
        <v>25</v>
      </c>
      <c r="O62" s="8"/>
      <c r="P6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2" s="1"/>
      <c r="S62" s="8"/>
      <c r="T6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2" s="20" t="s">
        <v>50</v>
      </c>
    </row>
    <row r="63" spans="1:22" x14ac:dyDescent="0.2">
      <c r="A63" s="9">
        <v>2</v>
      </c>
      <c r="B63" s="2" t="str">
        <f>"+55 (41) 98914-5945"</f>
        <v>+55 (41) 98914-5945</v>
      </c>
      <c r="C63" s="1" t="str">
        <f>"0x28 0x9C 0x3E 0x1D 0x0E 0x31 0x70 0x43"</f>
        <v>0x28 0x9C 0x3E 0x1D 0x0E 0x31 0x70 0x43</v>
      </c>
      <c r="D63" s="1" t="str">
        <f>"0x40 0x67 0xD2 0x69 0xF7 0xAC"</f>
        <v>0x40 0x67 0xD2 0x69 0xF7 0xAC</v>
      </c>
      <c r="E6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2.1 Uploading Firmware</v>
      </c>
      <c r="F63" s="8">
        <v>44663</v>
      </c>
      <c r="G63" s="8">
        <v>44671</v>
      </c>
      <c r="H63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63" s="1"/>
      <c r="J63" s="8">
        <v>44672</v>
      </c>
      <c r="K63" s="8"/>
      <c r="L63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63" s="1" t="s">
        <v>25</v>
      </c>
      <c r="O63" s="8"/>
      <c r="P6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3" s="1"/>
      <c r="S63" s="8"/>
      <c r="T6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3" s="20" t="s">
        <v>50</v>
      </c>
    </row>
    <row r="64" spans="1:22" x14ac:dyDescent="0.2">
      <c r="A64" s="9">
        <v>1</v>
      </c>
      <c r="B64" s="2" t="str">
        <f>"+55 (73) 99209-9181"</f>
        <v>+55 (73) 99209-9181</v>
      </c>
      <c r="C64" s="1" t="str">
        <f>"0x28 0x57 0xA2 0xBC 0xB2 0x82 0x7F 0xCE"</f>
        <v>0x28 0x57 0xA2 0xBC 0xB2 0x82 0x7F 0xCE</v>
      </c>
      <c r="D64" s="1" t="str">
        <f>"0x30 0x27 0xB6 0xEE 0x64 0x13"</f>
        <v>0x30 0x27 0xB6 0xEE 0x64 0x13</v>
      </c>
      <c r="E6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2.2 Firmware Uploaded</v>
      </c>
      <c r="F64" s="8">
        <v>44650</v>
      </c>
      <c r="G64" s="8">
        <v>44659</v>
      </c>
      <c r="H64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64" s="1"/>
      <c r="J64" s="8">
        <v>44659</v>
      </c>
      <c r="K64" s="8">
        <v>44662</v>
      </c>
      <c r="L64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3</v>
      </c>
      <c r="M64" s="1" t="s">
        <v>26</v>
      </c>
      <c r="O64" s="8"/>
      <c r="P6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4" s="1"/>
      <c r="S64" s="8"/>
      <c r="T6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4" s="20" t="s">
        <v>50</v>
      </c>
    </row>
    <row r="65" spans="1:22" x14ac:dyDescent="0.2">
      <c r="A65" s="9">
        <v>1</v>
      </c>
      <c r="B65" s="2" t="str">
        <f>"+55 (16) 98677-0935"</f>
        <v>+55 (16) 98677-0935</v>
      </c>
      <c r="C65" s="1" t="str">
        <f>"0x28 0x07 0xCD 0xD7 0xC2 0x70 0x82 0x1A"</f>
        <v>0x28 0x07 0xCD 0xD7 0xC2 0x70 0x82 0x1A</v>
      </c>
      <c r="D65" s="1" t="str">
        <f>"0x30 0xCA 0x61 0x76 0x16 0x03"</f>
        <v>0x30 0xCA 0x61 0x76 0x16 0x03</v>
      </c>
      <c r="E6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65" s="8">
        <v>44649</v>
      </c>
      <c r="G65" s="8">
        <v>44658</v>
      </c>
      <c r="H65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65" s="1"/>
      <c r="J65" s="8">
        <v>44658</v>
      </c>
      <c r="K65" s="8">
        <v>44659</v>
      </c>
      <c r="L65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65" s="1"/>
      <c r="N65" s="8">
        <v>44659</v>
      </c>
      <c r="O65" s="8"/>
      <c r="P65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5" s="1" t="s">
        <v>27</v>
      </c>
      <c r="S65" s="8"/>
      <c r="T6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5" s="20" t="s">
        <v>50</v>
      </c>
    </row>
    <row r="66" spans="1:22" x14ac:dyDescent="0.2">
      <c r="A66" s="9">
        <v>1</v>
      </c>
      <c r="B66" s="2" t="str">
        <f>"+55 (73) 99689-3212"</f>
        <v>+55 (73) 99689-3212</v>
      </c>
      <c r="C66" s="1" t="str">
        <f>"0x28 0x67 0xA9 0x74 0x27 0x9F 0xF1 0xFB"</f>
        <v>0x28 0x67 0xA9 0x74 0x27 0x9F 0xF1 0xFB</v>
      </c>
      <c r="D66" s="1" t="str">
        <f>"0x30 0x6F 0xDD 0xC1 0xD9 0x2C"</f>
        <v>0x30 0x6F 0xDD 0xC1 0xD9 0x2C</v>
      </c>
      <c r="E6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66" s="8">
        <v>44650</v>
      </c>
      <c r="G66" s="8">
        <v>44662</v>
      </c>
      <c r="H66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12</v>
      </c>
      <c r="I66" s="1"/>
      <c r="J66" s="8">
        <v>44662</v>
      </c>
      <c r="K66" s="8">
        <v>44663</v>
      </c>
      <c r="L66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66" s="1"/>
      <c r="N66" s="8">
        <v>44664</v>
      </c>
      <c r="O66" s="8"/>
      <c r="P66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6" s="1" t="s">
        <v>27</v>
      </c>
      <c r="S66" s="8"/>
      <c r="T6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6" s="20" t="s">
        <v>50</v>
      </c>
    </row>
    <row r="67" spans="1:22" x14ac:dyDescent="0.2">
      <c r="A67" s="9">
        <v>2</v>
      </c>
      <c r="B67" s="2" t="str">
        <f>"+55 (48) 98011-3158"</f>
        <v>+55 (48) 98011-3158</v>
      </c>
      <c r="C67" s="1" t="str">
        <f>"0x28 0x44 0x01 0x79 0xE1 0xA4 0x97 0xFD"</f>
        <v>0x28 0x44 0x01 0x79 0xE1 0xA4 0x97 0xFD</v>
      </c>
      <c r="D67" s="1" t="str">
        <f>"0x40 0x9B 0xE0 0x05 0xB6 0x05"</f>
        <v>0x40 0x9B 0xE0 0x05 0xB6 0x05</v>
      </c>
      <c r="E6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67" s="8">
        <v>44662</v>
      </c>
      <c r="G67" s="8">
        <v>44671</v>
      </c>
      <c r="H67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67" s="1"/>
      <c r="J67" s="8">
        <v>44672</v>
      </c>
      <c r="K67" s="8">
        <v>44673</v>
      </c>
      <c r="L67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67" s="1"/>
      <c r="N67" s="8">
        <v>44673</v>
      </c>
      <c r="O67" s="8"/>
      <c r="P67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7" s="1" t="s">
        <v>29</v>
      </c>
      <c r="S67" s="8"/>
      <c r="T6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7" s="20" t="s">
        <v>50</v>
      </c>
    </row>
    <row r="68" spans="1:22" x14ac:dyDescent="0.2">
      <c r="A68" s="9">
        <v>2</v>
      </c>
      <c r="B68" s="2" t="str">
        <f>"+55 (48) 98222-6182"</f>
        <v>+55 (48) 98222-6182</v>
      </c>
      <c r="C68" s="1" t="str">
        <f>"0x28 0x8B 0x66 0xF3 0x34 0x6E 0x0F 0x81"</f>
        <v>0x28 0x8B 0x66 0xF3 0x34 0x6E 0x0F 0x81</v>
      </c>
      <c r="D68" s="1" t="str">
        <f>"0x40 0x8C 0x9B 0xB8 0x13 0x7C"</f>
        <v>0x40 0x8C 0x9B 0xB8 0x13 0x7C</v>
      </c>
      <c r="E6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68" s="8">
        <v>44662</v>
      </c>
      <c r="G68" s="8">
        <v>44670</v>
      </c>
      <c r="H68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68" s="1"/>
      <c r="J68" s="8">
        <v>44670</v>
      </c>
      <c r="K68" s="8">
        <v>44672</v>
      </c>
      <c r="L68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2</v>
      </c>
      <c r="M68" s="1"/>
      <c r="N68" s="8">
        <v>44672</v>
      </c>
      <c r="O68" s="8"/>
      <c r="P68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8" s="1" t="s">
        <v>29</v>
      </c>
      <c r="S68" s="8"/>
      <c r="T68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8" s="20" t="s">
        <v>50</v>
      </c>
    </row>
    <row r="69" spans="1:22" x14ac:dyDescent="0.2">
      <c r="A69" s="9">
        <v>2</v>
      </c>
      <c r="B69" s="2" t="str">
        <f>"+55 (89) 98237-5059"</f>
        <v>+55 (89) 98237-5059</v>
      </c>
      <c r="C69" s="1" t="str">
        <f>"0x28 0x17 0xA2 0xF0 0xB3 0x52 0xBD 0xA4"</f>
        <v>0x28 0x17 0xA2 0xF0 0xB3 0x52 0xBD 0xA4</v>
      </c>
      <c r="D69" s="1" t="str">
        <f>"0x40 0x05 0x93 0x17 0x2C 0xCB"</f>
        <v>0x40 0x05 0x93 0x17 0x2C 0xCB</v>
      </c>
      <c r="E6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69" s="8">
        <v>44662</v>
      </c>
      <c r="G69" s="8">
        <v>44671</v>
      </c>
      <c r="H69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69" s="1"/>
      <c r="J69" s="8">
        <v>44672</v>
      </c>
      <c r="K69" s="8">
        <v>44673</v>
      </c>
      <c r="L69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69" s="1"/>
      <c r="N69" s="8">
        <v>44673</v>
      </c>
      <c r="O69" s="8"/>
      <c r="P69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69" s="1" t="s">
        <v>29</v>
      </c>
      <c r="S69" s="8"/>
      <c r="T69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69" s="20" t="s">
        <v>50</v>
      </c>
    </row>
    <row r="70" spans="1:22" x14ac:dyDescent="0.2">
      <c r="A70" s="9">
        <v>2</v>
      </c>
      <c r="B70" s="2" t="str">
        <f>"+55 (91) 99228-6778"</f>
        <v>+55 (91) 99228-6778</v>
      </c>
      <c r="C70" s="1" t="str">
        <f>"0x28 0x2E 0x93 0x1D 0x17 0xC6 0x94 0x1E"</f>
        <v>0x28 0x2E 0x93 0x1D 0x17 0xC6 0x94 0x1E</v>
      </c>
      <c r="D70" s="1" t="str">
        <f>"0x40 0x2C 0x70 0xC5 0x48 0xD7"</f>
        <v>0x40 0x2C 0x70 0xC5 0x48 0xD7</v>
      </c>
      <c r="E7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70" s="8">
        <v>44662</v>
      </c>
      <c r="G70" s="8">
        <v>44671</v>
      </c>
      <c r="H70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70" s="1"/>
      <c r="J70" s="8">
        <v>44672</v>
      </c>
      <c r="K70" s="8">
        <v>44673</v>
      </c>
      <c r="L70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0" s="1"/>
      <c r="N70" s="8">
        <v>44673</v>
      </c>
      <c r="O70" s="8"/>
      <c r="P70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70" s="1" t="s">
        <v>29</v>
      </c>
      <c r="S70" s="8"/>
      <c r="T70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70" s="20" t="s">
        <v>50</v>
      </c>
    </row>
    <row r="71" spans="1:22" x14ac:dyDescent="0.2">
      <c r="A71" s="9">
        <v>2</v>
      </c>
      <c r="B71" s="2" t="str">
        <f>"+55 (93) 99596-1318"</f>
        <v>+55 (93) 99596-1318</v>
      </c>
      <c r="C71" s="1" t="str">
        <f>"0x28 0xA7 0xC2 0x4F 0x05 0xDF 0x60 0x8E"</f>
        <v>0x28 0xA7 0xC2 0x4F 0x05 0xDF 0x60 0x8E</v>
      </c>
      <c r="D71" s="1" t="str">
        <f>"0x40 0xF2 0xDC 0xFC 0x5B 0xBD"</f>
        <v>0x40 0xF2 0xDC 0xFC 0x5B 0xBD</v>
      </c>
      <c r="E7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71" s="8">
        <v>44662</v>
      </c>
      <c r="G71" s="8">
        <v>44671</v>
      </c>
      <c r="H71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71" s="1"/>
      <c r="J71" s="8">
        <v>44671</v>
      </c>
      <c r="K71" s="8">
        <v>44672</v>
      </c>
      <c r="L71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1" s="1"/>
      <c r="N71" s="8">
        <v>44672</v>
      </c>
      <c r="O71" s="8"/>
      <c r="P71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71" s="1" t="s">
        <v>29</v>
      </c>
      <c r="S71" s="8"/>
      <c r="T71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71" s="20" t="s">
        <v>50</v>
      </c>
    </row>
    <row r="72" spans="1:22" x14ac:dyDescent="0.2">
      <c r="A72" s="9">
        <v>2</v>
      </c>
      <c r="B72" s="2" t="str">
        <f>"+55 (93) 99844-3770"</f>
        <v>+55 (93) 99844-3770</v>
      </c>
      <c r="C72" s="1" t="str">
        <f>"0x28 0x2F 0x9C 0xCC 0x5A 0x3E 0x05 0xA5"</f>
        <v>0x28 0x2F 0x9C 0xCC 0x5A 0x3E 0x05 0xA5</v>
      </c>
      <c r="D72" s="1" t="str">
        <f>"0x40 0x3E 0x44 0xC0 0x45 0x28"</f>
        <v>0x40 0x3E 0x44 0xC0 0x45 0x28</v>
      </c>
      <c r="E7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72" s="8">
        <v>44662</v>
      </c>
      <c r="G72" s="8">
        <v>44671</v>
      </c>
      <c r="H72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72" s="1"/>
      <c r="J72" s="8">
        <v>44671</v>
      </c>
      <c r="K72" s="8">
        <v>44673</v>
      </c>
      <c r="L72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2</v>
      </c>
      <c r="M72" s="1"/>
      <c r="N72" s="8">
        <v>44673</v>
      </c>
      <c r="O72" s="8"/>
      <c r="P72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72" s="1" t="s">
        <v>29</v>
      </c>
      <c r="S72" s="8"/>
      <c r="T72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72" s="20" t="s">
        <v>50</v>
      </c>
    </row>
    <row r="73" spans="1:22" x14ac:dyDescent="0.2">
      <c r="A73" s="9">
        <v>2</v>
      </c>
      <c r="B73" s="2" t="str">
        <f>"+55 (19) 99472-7680"</f>
        <v>+55 (19) 99472-7680</v>
      </c>
      <c r="C73" s="1" t="str">
        <f>"0x28 0xDE 0xF1 0x77 0xD7 0x40 0x58 0xDB"</f>
        <v>0x28 0xDE 0xF1 0x77 0xD7 0x40 0x58 0xDB</v>
      </c>
      <c r="D73" s="1" t="str">
        <f>"0x40 0x7F 0x5B 0xAC 0x5C 0xF1"</f>
        <v>0x40 0x7F 0x5B 0xAC 0x5C 0xF1</v>
      </c>
      <c r="E7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3.1 Assembling Box</v>
      </c>
      <c r="F73" s="8">
        <v>44663</v>
      </c>
      <c r="G73" s="8">
        <v>44671</v>
      </c>
      <c r="H73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73" s="1"/>
      <c r="J73" s="8">
        <v>44672</v>
      </c>
      <c r="K73" s="8">
        <v>44673</v>
      </c>
      <c r="L73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3" s="1"/>
      <c r="N73" s="8">
        <v>44673</v>
      </c>
      <c r="O73" s="8"/>
      <c r="P73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73" s="1" t="s">
        <v>29</v>
      </c>
      <c r="S73" s="8"/>
      <c r="T73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73" s="20" t="s">
        <v>50</v>
      </c>
    </row>
    <row r="74" spans="1:22" x14ac:dyDescent="0.2">
      <c r="A74" s="9">
        <v>2</v>
      </c>
      <c r="B74" s="2" t="str">
        <f>"+55 (45) 98149-1400"</f>
        <v>+55 (45) 98149-1400</v>
      </c>
      <c r="C74" s="1" t="str">
        <f>"0x28 0x2A 0x01 0xD2 0x42 0x6C 0xB8 0x94"</f>
        <v>0x28 0x2A 0x01 0xD2 0x42 0x6C 0xB8 0x94</v>
      </c>
      <c r="D74" s="1" t="str">
        <f>"0x40 0xB9 0x62 0xBE 0x3D 0xE5"</f>
        <v>0x40 0xB9 0x62 0xBE 0x3D 0xE5</v>
      </c>
      <c r="E7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3.2 Box Assembled</v>
      </c>
      <c r="F74" s="8">
        <v>44662</v>
      </c>
      <c r="G74" s="8">
        <v>44670</v>
      </c>
      <c r="H74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74" s="1"/>
      <c r="J74" s="8">
        <v>44670</v>
      </c>
      <c r="K74" s="8">
        <v>44672</v>
      </c>
      <c r="L74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2</v>
      </c>
      <c r="M74" s="1"/>
      <c r="N74" s="8">
        <v>44672</v>
      </c>
      <c r="O74" s="8">
        <v>44672</v>
      </c>
      <c r="P74" s="17" t="str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/>
      </c>
      <c r="Q74" s="1"/>
      <c r="S74" s="8"/>
      <c r="T74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V74" s="20" t="s">
        <v>50</v>
      </c>
    </row>
    <row r="75" spans="1:22" x14ac:dyDescent="0.2">
      <c r="A75" s="9">
        <v>2</v>
      </c>
      <c r="B75" s="2" t="str">
        <f>"+55 (15) 98076-6852"</f>
        <v>+55 (15) 98076-6852</v>
      </c>
      <c r="C75" s="1" t="str">
        <f>"0x28 0x29 0x01 0x18 0x63 0x71 0xFF 0x4D"</f>
        <v>0x28 0x29 0x01 0x18 0x63 0x71 0xFF 0x4D</v>
      </c>
      <c r="D75" s="1" t="str">
        <f>"0x40 0x81 0x55 0x52 0x57 0x36"</f>
        <v>0x40 0x81 0x55 0x52 0x57 0x36</v>
      </c>
      <c r="E7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4.1 Shipped</v>
      </c>
      <c r="F75" s="8">
        <v>44662</v>
      </c>
      <c r="G75" s="8">
        <v>44670</v>
      </c>
      <c r="H75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75" s="1"/>
      <c r="J75" s="8">
        <v>44670</v>
      </c>
      <c r="K75" s="8">
        <v>44671</v>
      </c>
      <c r="L75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5" s="1"/>
      <c r="N75" s="8">
        <v>44671</v>
      </c>
      <c r="O75" s="8">
        <v>44673</v>
      </c>
      <c r="P75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75" s="1"/>
      <c r="R75" s="8">
        <v>44678</v>
      </c>
      <c r="S75" s="8"/>
      <c r="T75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U75" s="1" t="s">
        <v>29</v>
      </c>
      <c r="V75" s="20" t="s">
        <v>50</v>
      </c>
    </row>
    <row r="76" spans="1:22" x14ac:dyDescent="0.2">
      <c r="A76" s="9">
        <v>2</v>
      </c>
      <c r="B76" s="2" t="str">
        <f>"+55 (86) 98873-9159"</f>
        <v>+55 (86) 98873-9159</v>
      </c>
      <c r="C76" s="1" t="str">
        <f>"0x28 0xBA 0xD3 0xD8 0x23 0x48 0x76 0x07"</f>
        <v>0x28 0xBA 0xD3 0xD8 0x23 0x48 0x76 0x07</v>
      </c>
      <c r="D76" s="1" t="str">
        <f>"0x40 0x82 0x49 0xB7 0x06 0x11"</f>
        <v>0x40 0x82 0x49 0xB7 0x06 0x11</v>
      </c>
      <c r="E7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4.1 Shipped</v>
      </c>
      <c r="F76" s="8">
        <v>44662</v>
      </c>
      <c r="G76" s="8">
        <v>44670</v>
      </c>
      <c r="H76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76" s="1"/>
      <c r="J76" s="8">
        <v>44670</v>
      </c>
      <c r="K76" s="8">
        <v>44671</v>
      </c>
      <c r="L76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6" s="1"/>
      <c r="N76" s="8">
        <v>44671</v>
      </c>
      <c r="O76" s="8">
        <v>44673</v>
      </c>
      <c r="P76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76" s="1"/>
      <c r="R76" s="8">
        <v>44678</v>
      </c>
      <c r="S76" s="8"/>
      <c r="T76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U76" s="1" t="s">
        <v>29</v>
      </c>
      <c r="V76" s="20" t="s">
        <v>50</v>
      </c>
    </row>
    <row r="77" spans="1:22" x14ac:dyDescent="0.2">
      <c r="A77" s="9">
        <v>2</v>
      </c>
      <c r="B77" s="2" t="str">
        <f>"+55 (99) 98087-7747"</f>
        <v>+55 (99) 98087-7747</v>
      </c>
      <c r="C77" s="1" t="str">
        <f>"0x28 0x4D 0xD8 0x23 0x4C 0xEE 0x94 0xB3"</f>
        <v>0x28 0x4D 0xD8 0x23 0x4C 0xEE 0x94 0xB3</v>
      </c>
      <c r="D77" s="1" t="str">
        <f>"0x40 0x97 0xE7 0xCA 0x1B 0x25"</f>
        <v>0x40 0x97 0xE7 0xCA 0x1B 0x25</v>
      </c>
      <c r="E7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4.1 Shipped</v>
      </c>
      <c r="F77" s="8">
        <v>44662</v>
      </c>
      <c r="G77" s="8">
        <v>44670</v>
      </c>
      <c r="H77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77" s="1"/>
      <c r="J77" s="8">
        <v>44670</v>
      </c>
      <c r="K77" s="8">
        <v>44671</v>
      </c>
      <c r="L77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7" s="1"/>
      <c r="N77" s="8">
        <v>44671</v>
      </c>
      <c r="O77" s="8">
        <v>44673</v>
      </c>
      <c r="P77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77" s="1"/>
      <c r="R77" s="8">
        <v>44678</v>
      </c>
      <c r="S77" s="8"/>
      <c r="T77" s="17" t="str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/>
      </c>
      <c r="U77" s="1" t="s">
        <v>29</v>
      </c>
      <c r="V77" s="20" t="s">
        <v>50</v>
      </c>
    </row>
    <row r="78" spans="1:22" x14ac:dyDescent="0.2">
      <c r="A78" s="9">
        <v>1</v>
      </c>
      <c r="B78" s="2" t="str">
        <f>"+55 (12) 99548-7382"</f>
        <v>+55 (12) 99548-7382</v>
      </c>
      <c r="C78" s="1" t="str">
        <f>"0x28 0x67 0xFD 0x87 0xE1 0xA6 0x35 0x14"</f>
        <v>0x28 0x67 0xFD 0x87 0xE1 0xA6 0x35 0x14</v>
      </c>
      <c r="D78" s="1" t="str">
        <f>"0x30 0xF9 0xEB 0x25 0x80 0xCB"</f>
        <v>0x30 0xF9 0xEB 0x25 0x80 0xCB</v>
      </c>
      <c r="E7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78" s="8">
        <v>44648</v>
      </c>
      <c r="G78" s="8">
        <v>44658</v>
      </c>
      <c r="H78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10</v>
      </c>
      <c r="I78" s="1"/>
      <c r="J78" s="8">
        <v>44658</v>
      </c>
      <c r="K78" s="8">
        <v>44659</v>
      </c>
      <c r="L78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78" s="1"/>
      <c r="N78" s="8">
        <v>44659</v>
      </c>
      <c r="O78" s="8">
        <v>44662</v>
      </c>
      <c r="P78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3</v>
      </c>
      <c r="Q78" s="1"/>
      <c r="R78" s="8">
        <v>44663</v>
      </c>
      <c r="S78" s="8">
        <v>44666</v>
      </c>
      <c r="T78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78" s="8" t="s">
        <v>49</v>
      </c>
    </row>
    <row r="79" spans="1:22" x14ac:dyDescent="0.2">
      <c r="A79" s="9">
        <v>1</v>
      </c>
      <c r="B79" s="2" t="str">
        <f>"+55 (38) 98983-5228"</f>
        <v>+55 (38) 98983-5228</v>
      </c>
      <c r="C79" s="1" t="str">
        <f>"0x28 0x92 0x20 0x43 0xB5 0x26 0x18 0x79"</f>
        <v>0x28 0x92 0x20 0x43 0xB5 0x26 0x18 0x79</v>
      </c>
      <c r="D79" s="1" t="str">
        <f>"0x30 0x16 0xB3 0x87 0x4D 0x67"</f>
        <v>0x30 0x16 0xB3 0x87 0x4D 0x67</v>
      </c>
      <c r="E7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79" s="8">
        <v>44648</v>
      </c>
      <c r="G79" s="8">
        <v>44657</v>
      </c>
      <c r="H79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79" s="1"/>
      <c r="J79" s="8">
        <v>44657</v>
      </c>
      <c r="K79" s="8">
        <v>44657</v>
      </c>
      <c r="L79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79" s="1"/>
      <c r="N79" s="8">
        <v>44657</v>
      </c>
      <c r="O79" s="8">
        <v>44662</v>
      </c>
      <c r="P79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5</v>
      </c>
      <c r="Q79" s="1"/>
      <c r="R79" s="8">
        <v>44663</v>
      </c>
      <c r="S79" s="8">
        <v>44666</v>
      </c>
      <c r="T79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79" s="8" t="s">
        <v>49</v>
      </c>
    </row>
    <row r="80" spans="1:22" x14ac:dyDescent="0.2">
      <c r="A80" s="9">
        <v>1</v>
      </c>
      <c r="B80" s="2" t="str">
        <f>"+55 (46) 98753-9525"</f>
        <v>+55 (46) 98753-9525</v>
      </c>
      <c r="C80" s="1" t="str">
        <f>"0x28 0xA3 0xEF 0xA5 0xE0 0xD3 0xF6 0x5E"</f>
        <v>0x28 0xA3 0xEF 0xA5 0xE0 0xD3 0xF6 0x5E</v>
      </c>
      <c r="D80" s="1" t="str">
        <f>"0x30 0x5D 0x30 0x4C 0x45 0xA6"</f>
        <v>0x30 0x5D 0x30 0x4C 0x45 0xA6</v>
      </c>
      <c r="E8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0" s="8">
        <v>44648</v>
      </c>
      <c r="G80" s="8">
        <v>44656</v>
      </c>
      <c r="H80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80" s="1"/>
      <c r="J80" s="8">
        <v>44656</v>
      </c>
      <c r="K80" s="8">
        <v>44658</v>
      </c>
      <c r="L80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2</v>
      </c>
      <c r="M80" s="1"/>
      <c r="N80" s="8">
        <v>44658</v>
      </c>
      <c r="O80" s="8">
        <v>44662</v>
      </c>
      <c r="P80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4</v>
      </c>
      <c r="Q80" s="1"/>
      <c r="R80" s="8">
        <v>44663</v>
      </c>
      <c r="S80" s="8">
        <v>44666</v>
      </c>
      <c r="T80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0" s="8" t="s">
        <v>50</v>
      </c>
    </row>
    <row r="81" spans="1:27" x14ac:dyDescent="0.2">
      <c r="A81" s="9">
        <v>1</v>
      </c>
      <c r="B81" s="2" t="str">
        <f>"+55 (46) 99188-0981"</f>
        <v>+55 (46) 99188-0981</v>
      </c>
      <c r="C81" s="1" t="str">
        <f>"0x28 0x89 0x37 0x66 0x30 0x88 0x2A 0xCA"</f>
        <v>0x28 0x89 0x37 0x66 0x30 0x88 0x2A 0xCA</v>
      </c>
      <c r="D81" s="1" t="str">
        <f>"0x30 0x31 0xA2 0xEA 0x47 0xAC"</f>
        <v>0x30 0x31 0xA2 0xEA 0x47 0xAC</v>
      </c>
      <c r="E8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1" s="8">
        <v>44648</v>
      </c>
      <c r="G81" s="8">
        <v>44657</v>
      </c>
      <c r="H81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81" s="1"/>
      <c r="J81" s="8">
        <v>44657</v>
      </c>
      <c r="K81" s="8">
        <v>44658</v>
      </c>
      <c r="L81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1" s="1"/>
      <c r="N81" s="8">
        <v>44658</v>
      </c>
      <c r="O81" s="8">
        <v>44662</v>
      </c>
      <c r="P81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4</v>
      </c>
      <c r="Q81" s="1"/>
      <c r="R81" s="8">
        <v>44663</v>
      </c>
      <c r="S81" s="8">
        <v>44666</v>
      </c>
      <c r="T81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1" s="8" t="s">
        <v>50</v>
      </c>
    </row>
    <row r="82" spans="1:27" x14ac:dyDescent="0.2">
      <c r="A82" s="9">
        <v>1</v>
      </c>
      <c r="B82" s="2" t="str">
        <f>"+55 (47) 99872-6757"</f>
        <v>+55 (47) 99872-6757</v>
      </c>
      <c r="C82" s="1" t="str">
        <f>"0x28 0xF9 0xB1 0xAA 0xBB 0x4A 0x32 0xFD"</f>
        <v>0x28 0xF9 0xB1 0xAA 0xBB 0x4A 0x32 0xFD</v>
      </c>
      <c r="D82" s="1" t="str">
        <f>"0x30 0xAC 0xD9 0xDF 0xF7 0xD6"</f>
        <v>0x30 0xAC 0xD9 0xDF 0xF7 0xD6</v>
      </c>
      <c r="E8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2" s="8">
        <v>44648</v>
      </c>
      <c r="G82" s="8">
        <v>44656</v>
      </c>
      <c r="H82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82" s="1"/>
      <c r="J82" s="8">
        <v>44656</v>
      </c>
      <c r="K82" s="8">
        <v>44657</v>
      </c>
      <c r="L82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2" s="1"/>
      <c r="N82" s="8">
        <v>44657</v>
      </c>
      <c r="O82" s="8">
        <v>44659</v>
      </c>
      <c r="P82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82" s="1"/>
      <c r="R82" s="8">
        <v>44663</v>
      </c>
      <c r="S82" s="8">
        <v>44666</v>
      </c>
      <c r="T82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2" s="8" t="s">
        <v>50</v>
      </c>
    </row>
    <row r="83" spans="1:27" x14ac:dyDescent="0.2">
      <c r="A83" s="9">
        <v>1</v>
      </c>
      <c r="B83" s="2" t="str">
        <f>"+55 (48) 99897-2266"</f>
        <v>+55 (48) 99897-2266</v>
      </c>
      <c r="C83" s="1" t="str">
        <f>"0x28 0xAB 0xC1 0xCA 0xA9 0xD6 0x88 0x9E"</f>
        <v>0x28 0xAB 0xC1 0xCA 0xA9 0xD6 0x88 0x9E</v>
      </c>
      <c r="D83" s="1" t="str">
        <f>"0x30 0x06 0xBC 0x69 0xDA 0xB3"</f>
        <v>0x30 0x06 0xBC 0x69 0xDA 0xB3</v>
      </c>
      <c r="E8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3" s="8">
        <v>44648</v>
      </c>
      <c r="G83" s="8">
        <v>44656</v>
      </c>
      <c r="H83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83" s="1"/>
      <c r="J83" s="8">
        <v>44656</v>
      </c>
      <c r="K83" s="8">
        <v>44657</v>
      </c>
      <c r="L83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3" s="1"/>
      <c r="N83" s="8">
        <v>44657</v>
      </c>
      <c r="O83" s="8">
        <v>44659</v>
      </c>
      <c r="P83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83" s="1"/>
      <c r="R83" s="8">
        <v>44663</v>
      </c>
      <c r="S83" s="8">
        <v>44666</v>
      </c>
      <c r="T83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3" s="8" t="s">
        <v>49</v>
      </c>
    </row>
    <row r="84" spans="1:27" ht="16" customHeight="1" x14ac:dyDescent="0.2">
      <c r="A84" s="9">
        <v>1</v>
      </c>
      <c r="B84" s="2" t="str">
        <f>"+55 (54) 99437-0005"</f>
        <v>+55 (54) 99437-0005</v>
      </c>
      <c r="C84" s="1" t="str">
        <f>"0x28 0x96 0xFE 0x21 0x5E 0x51 0x38 0xF5"</f>
        <v>0x28 0x96 0xFE 0x21 0x5E 0x51 0x38 0xF5</v>
      </c>
      <c r="D84" s="1" t="str">
        <f>"0x30 0xDB 0xAA 0x0D 0x16 0x80"</f>
        <v>0x30 0xDB 0xAA 0x0D 0x16 0x80</v>
      </c>
      <c r="E8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4" s="8">
        <v>44648</v>
      </c>
      <c r="G84" s="8">
        <v>44656</v>
      </c>
      <c r="H84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84" s="1"/>
      <c r="J84" s="8">
        <v>44656</v>
      </c>
      <c r="K84" s="8">
        <v>44657</v>
      </c>
      <c r="L84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4" s="1"/>
      <c r="N84" s="8">
        <v>44657</v>
      </c>
      <c r="O84" s="8">
        <v>44659</v>
      </c>
      <c r="P84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84" s="1"/>
      <c r="R84" s="8">
        <v>44663</v>
      </c>
      <c r="S84" s="8">
        <v>44666</v>
      </c>
      <c r="T84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4" s="8" t="s">
        <v>50</v>
      </c>
      <c r="AA84" s="18"/>
    </row>
    <row r="85" spans="1:27" x14ac:dyDescent="0.2">
      <c r="A85" s="9">
        <v>1</v>
      </c>
      <c r="B85" s="2" t="str">
        <f>"+55 (68) 98854-2028"</f>
        <v>+55 (68) 98854-2028</v>
      </c>
      <c r="C85" s="1" t="str">
        <f>"0x28 0xAE 0xA1 0xEC 0x85 0x61 0x8D 0xB8"</f>
        <v>0x28 0xAE 0xA1 0xEC 0x85 0x61 0x8D 0xB8</v>
      </c>
      <c r="D85" s="1" t="str">
        <f>"0x30 0xB1 0xD8 0x62 0x2E 0x6B"</f>
        <v>0x30 0xB1 0xD8 0x62 0x2E 0x6B</v>
      </c>
      <c r="E8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5" s="8">
        <v>44648</v>
      </c>
      <c r="G85" s="8">
        <v>44657</v>
      </c>
      <c r="H85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85" s="1"/>
      <c r="J85" s="8">
        <v>44657</v>
      </c>
      <c r="K85" s="8">
        <v>44658</v>
      </c>
      <c r="L85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5" s="1"/>
      <c r="N85" s="8">
        <v>44658</v>
      </c>
      <c r="O85" s="8">
        <v>44662</v>
      </c>
      <c r="P85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4</v>
      </c>
      <c r="Q85" s="1"/>
      <c r="R85" s="8">
        <v>44663</v>
      </c>
      <c r="S85" s="8">
        <v>44666</v>
      </c>
      <c r="T85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5" s="8" t="s">
        <v>49</v>
      </c>
    </row>
    <row r="86" spans="1:27" x14ac:dyDescent="0.2">
      <c r="A86" s="9">
        <v>1</v>
      </c>
      <c r="B86" s="2" t="str">
        <f>"+55 (91) 98203-0809"</f>
        <v>+55 (91) 98203-0809</v>
      </c>
      <c r="C86" s="1" t="str">
        <f>"0x28 0xCB 0xB8 0xFE 0x61 0x35 0x9B 0xA3"</f>
        <v>0x28 0xCB 0xB8 0xFE 0x61 0x35 0x9B 0xA3</v>
      </c>
      <c r="D86" s="1" t="str">
        <f>"0x30 0x95 0xE6 0xFC 0xD2 0x0B"</f>
        <v>0x30 0x95 0xE6 0xFC 0xD2 0x0B</v>
      </c>
      <c r="E8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6" s="8">
        <v>44648</v>
      </c>
      <c r="G86" s="8">
        <v>44656</v>
      </c>
      <c r="H86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86" s="1"/>
      <c r="J86" s="8">
        <v>44656</v>
      </c>
      <c r="K86" s="8">
        <v>44657</v>
      </c>
      <c r="L86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6" s="1"/>
      <c r="N86" s="8">
        <v>44657</v>
      </c>
      <c r="O86" s="8">
        <v>44659</v>
      </c>
      <c r="P86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86" s="1"/>
      <c r="R86" s="8">
        <v>44663</v>
      </c>
      <c r="S86" s="8">
        <v>44666</v>
      </c>
      <c r="T86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6" s="8" t="s">
        <v>49</v>
      </c>
    </row>
    <row r="87" spans="1:27" x14ac:dyDescent="0.2">
      <c r="A87" s="9">
        <v>1</v>
      </c>
      <c r="B87" s="2" t="str">
        <f>"+55 (99) 98106-7152"</f>
        <v>+55 (99) 98106-7152</v>
      </c>
      <c r="C87" s="1" t="str">
        <f>"0x28 0x49 0xB1 0xEC 0x0C 0x39 0xA3 0xE7"</f>
        <v>0x28 0x49 0xB1 0xEC 0x0C 0x39 0xA3 0xE7</v>
      </c>
      <c r="D87" s="1" t="str">
        <f>"0x30 0x62 0x96 0x94 0x8B 0x98"</f>
        <v>0x30 0x62 0x96 0x94 0x8B 0x98</v>
      </c>
      <c r="E8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7" s="8">
        <v>44648</v>
      </c>
      <c r="G87" s="8">
        <v>44658</v>
      </c>
      <c r="H87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10</v>
      </c>
      <c r="I87" s="1"/>
      <c r="J87" s="8">
        <v>44658</v>
      </c>
      <c r="K87" s="8">
        <v>44659</v>
      </c>
      <c r="L87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87" s="1"/>
      <c r="N87" s="8">
        <v>44659</v>
      </c>
      <c r="O87" s="8">
        <v>44662</v>
      </c>
      <c r="P87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3</v>
      </c>
      <c r="Q87" s="1"/>
      <c r="R87" s="8">
        <v>44663</v>
      </c>
      <c r="S87" s="8">
        <v>44666</v>
      </c>
      <c r="T87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7" s="8" t="s">
        <v>50</v>
      </c>
    </row>
    <row r="88" spans="1:27" x14ac:dyDescent="0.2">
      <c r="A88" s="9">
        <v>1</v>
      </c>
      <c r="B88" s="2" t="str">
        <f>"+55 (12) 99196-5873"</f>
        <v>+55 (12) 99196-5873</v>
      </c>
      <c r="C88" s="1" t="str">
        <f>"0x28 0xB8 0xDC 0x5F 0xEC 0x1C 0x5F 0x23"</f>
        <v>0x28 0xB8 0xDC 0x5F 0xEC 0x1C 0x5F 0x23</v>
      </c>
      <c r="D88" s="1" t="str">
        <f>"0x30 0x37 0xB6 0x8A 0x5B 0xB9"</f>
        <v>0x30 0x37 0xB6 0x8A 0x5B 0xB9</v>
      </c>
      <c r="E8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8" s="8">
        <v>44649</v>
      </c>
      <c r="G88" s="8">
        <v>44657</v>
      </c>
      <c r="H88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8</v>
      </c>
      <c r="I88" s="1"/>
      <c r="J88" s="8">
        <v>44657</v>
      </c>
      <c r="K88" s="8">
        <v>44657</v>
      </c>
      <c r="L88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88" s="1"/>
      <c r="N88" s="8">
        <v>44657</v>
      </c>
      <c r="O88" s="8">
        <v>44662</v>
      </c>
      <c r="P88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5</v>
      </c>
      <c r="Q88" s="1"/>
      <c r="R88" s="8">
        <v>44663</v>
      </c>
      <c r="S88" s="8">
        <v>44666</v>
      </c>
      <c r="T88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8" s="8" t="s">
        <v>49</v>
      </c>
    </row>
    <row r="89" spans="1:27" x14ac:dyDescent="0.2">
      <c r="A89" s="9">
        <v>1</v>
      </c>
      <c r="B89" s="2" t="str">
        <f>"+55 (21) 99685-3729"</f>
        <v>+55 (21) 99685-3729</v>
      </c>
      <c r="C89" s="1" t="str">
        <f>"0x28 0x32 0xA7 0x25 0x03 0x15 0x99 0xF8"</f>
        <v>0x28 0x32 0xA7 0x25 0x03 0x15 0x99 0xF8</v>
      </c>
      <c r="D89" s="1" t="str">
        <f>"0x30 0x00 0xAA 0x9F 0x1B 0x24"</f>
        <v>0x30 0x00 0xAA 0x9F 0x1B 0x24</v>
      </c>
      <c r="E8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89" s="8">
        <v>44649</v>
      </c>
      <c r="G89" s="8">
        <v>44658</v>
      </c>
      <c r="H89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89" s="1"/>
      <c r="J89" s="8">
        <v>44659</v>
      </c>
      <c r="K89" s="8">
        <v>44662</v>
      </c>
      <c r="L89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3</v>
      </c>
      <c r="M89" s="1"/>
      <c r="N89" s="8">
        <v>44662</v>
      </c>
      <c r="O89" s="8">
        <v>44664</v>
      </c>
      <c r="P89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89" s="1"/>
      <c r="R89" s="8">
        <v>44669</v>
      </c>
      <c r="S89" s="8">
        <v>44672</v>
      </c>
      <c r="T89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89" s="8" t="s">
        <v>50</v>
      </c>
    </row>
    <row r="90" spans="1:27" x14ac:dyDescent="0.2">
      <c r="A90" s="9">
        <v>1</v>
      </c>
      <c r="B90" s="2" t="str">
        <f>"+55 (24) 98870-8533"</f>
        <v>+55 (24) 98870-8533</v>
      </c>
      <c r="C90" s="1" t="str">
        <f>"0x28 0xEE 0x8E 0xB7 0x6C 0xF7 0xC4 0xA6"</f>
        <v>0x28 0xEE 0x8E 0xB7 0x6C 0xF7 0xC4 0xA6</v>
      </c>
      <c r="D90" s="1" t="str">
        <f>"0x30 0xB2 0x60 0xED 0x41 0xC9"</f>
        <v>0x30 0xB2 0x60 0xED 0x41 0xC9</v>
      </c>
      <c r="E9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0" s="8">
        <v>44649</v>
      </c>
      <c r="G90" s="8">
        <v>44659</v>
      </c>
      <c r="H90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10</v>
      </c>
      <c r="I90" s="1"/>
      <c r="J90" s="8">
        <v>44659</v>
      </c>
      <c r="K90" s="8">
        <v>44662</v>
      </c>
      <c r="L90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3</v>
      </c>
      <c r="M90" s="1"/>
      <c r="N90" s="8">
        <v>44662</v>
      </c>
      <c r="O90" s="8">
        <v>44664</v>
      </c>
      <c r="P90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90" s="1"/>
      <c r="R90" s="8">
        <v>44669</v>
      </c>
      <c r="S90" s="8">
        <v>44672</v>
      </c>
      <c r="T90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0" s="8" t="s">
        <v>50</v>
      </c>
    </row>
    <row r="91" spans="1:27" x14ac:dyDescent="0.2">
      <c r="A91" s="9">
        <v>1</v>
      </c>
      <c r="B91" s="2" t="str">
        <f>"+55 (24) 99642-5728"</f>
        <v>+55 (24) 99642-5728</v>
      </c>
      <c r="C91" s="1" t="str">
        <f>"0x28 0x1F 0x3B 0xFB 0xC8 0x7E 0x57 0xA3"</f>
        <v>0x28 0x1F 0x3B 0xFB 0xC8 0x7E 0x57 0xA3</v>
      </c>
      <c r="D91" s="1" t="str">
        <f>"0x30 0x79 0x81 0xF8 0x65 0x4F"</f>
        <v>0x30 0x79 0x81 0xF8 0x65 0x4F</v>
      </c>
      <c r="E9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1" s="8">
        <v>44649</v>
      </c>
      <c r="G91" s="8">
        <v>44658</v>
      </c>
      <c r="H91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91" s="1"/>
      <c r="J91" s="8">
        <v>44658</v>
      </c>
      <c r="K91" s="8">
        <v>44659</v>
      </c>
      <c r="L91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91" s="1"/>
      <c r="N91" s="8">
        <v>44662</v>
      </c>
      <c r="O91" s="8">
        <v>44664</v>
      </c>
      <c r="P91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91" s="1"/>
      <c r="R91" s="8">
        <v>44669</v>
      </c>
      <c r="S91" s="8">
        <v>44672</v>
      </c>
      <c r="T91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1" s="8" t="s">
        <v>49</v>
      </c>
    </row>
    <row r="92" spans="1:27" x14ac:dyDescent="0.2">
      <c r="A92" s="9">
        <v>1</v>
      </c>
      <c r="B92" s="2" t="str">
        <f>"+55 (46) 99945-8886"</f>
        <v>+55 (46) 99945-8886</v>
      </c>
      <c r="C92" s="1" t="str">
        <f>"0x28 0xE2 0xF1 0xC4 0xFA 0x8D 0x98 0x5E"</f>
        <v>0x28 0xE2 0xF1 0xC4 0xFA 0x8D 0x98 0x5E</v>
      </c>
      <c r="D92" s="1" t="str">
        <f>"0x30 0xD8 0x2A 0xAC 0xB4 0x95"</f>
        <v>0x30 0xD8 0x2A 0xAC 0xB4 0x95</v>
      </c>
      <c r="E9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2" s="8">
        <v>44649</v>
      </c>
      <c r="G92" s="8">
        <v>44658</v>
      </c>
      <c r="H92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92" s="1"/>
      <c r="J92" s="8">
        <v>44658</v>
      </c>
      <c r="K92" s="8">
        <v>44659</v>
      </c>
      <c r="L92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92" s="1"/>
      <c r="N92" s="8">
        <v>44659</v>
      </c>
      <c r="O92" s="8">
        <v>44663</v>
      </c>
      <c r="P92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4</v>
      </c>
      <c r="Q92" s="1"/>
      <c r="R92" s="8">
        <v>44663</v>
      </c>
      <c r="S92" s="8">
        <v>44666</v>
      </c>
      <c r="T92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2" s="8" t="s">
        <v>49</v>
      </c>
    </row>
    <row r="93" spans="1:27" x14ac:dyDescent="0.2">
      <c r="A93" s="9">
        <v>1</v>
      </c>
      <c r="B93" s="2" t="str">
        <f>"+55 (75) 99915-1112"</f>
        <v>+55 (75) 99915-1112</v>
      </c>
      <c r="C93" s="1" t="str">
        <f>"0x28 0x5F 0x6C 0x11 0xA9 0x1D 0x17 0x20"</f>
        <v>0x28 0x5F 0x6C 0x11 0xA9 0x1D 0x17 0x20</v>
      </c>
      <c r="D93" s="1" t="str">
        <f>"0x30 0xEA 0x59 0x32 0x23 0xD9"</f>
        <v>0x30 0xEA 0x59 0x32 0x23 0xD9</v>
      </c>
      <c r="E93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3" s="8">
        <v>44649</v>
      </c>
      <c r="G93" s="8">
        <v>44659</v>
      </c>
      <c r="H93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10</v>
      </c>
      <c r="I93" s="1"/>
      <c r="J93" s="8">
        <v>44659</v>
      </c>
      <c r="K93" s="8">
        <v>44662</v>
      </c>
      <c r="L93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3</v>
      </c>
      <c r="M93" s="1"/>
      <c r="N93" s="8">
        <v>44662</v>
      </c>
      <c r="O93" s="8">
        <v>44663</v>
      </c>
      <c r="P93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1</v>
      </c>
      <c r="Q93" s="1"/>
      <c r="R93" s="8">
        <v>44663</v>
      </c>
      <c r="S93" s="8">
        <v>44666</v>
      </c>
      <c r="T93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3" s="8" t="s">
        <v>50</v>
      </c>
    </row>
    <row r="94" spans="1:27" x14ac:dyDescent="0.2">
      <c r="A94" s="9">
        <v>1</v>
      </c>
      <c r="B94" s="2" t="str">
        <f>"+55 (97) 98624-7491"</f>
        <v>+55 (97) 98624-7491</v>
      </c>
      <c r="C94" s="1" t="str">
        <f>"0x28 0x9D 0x00 0x5A 0x25 0xC8 0x4A 0xFE"</f>
        <v>0x28 0x9D 0x00 0x5A 0x25 0xC8 0x4A 0xFE</v>
      </c>
      <c r="D94" s="1" t="str">
        <f>"0x30 0x6F 0x8F 0x71 0xE0 0x17"</f>
        <v>0x30 0x6F 0x8F 0x71 0xE0 0x17</v>
      </c>
      <c r="E94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4" s="8">
        <v>44649</v>
      </c>
      <c r="G94" s="8">
        <v>44659</v>
      </c>
      <c r="H94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10</v>
      </c>
      <c r="I94" s="1"/>
      <c r="J94" s="8">
        <v>44659</v>
      </c>
      <c r="K94" s="8">
        <v>44662</v>
      </c>
      <c r="L94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3</v>
      </c>
      <c r="M94" s="1"/>
      <c r="N94" s="8">
        <v>44662</v>
      </c>
      <c r="O94" s="8">
        <v>44664</v>
      </c>
      <c r="P94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94" s="1"/>
      <c r="R94" s="8">
        <v>44669</v>
      </c>
      <c r="S94" s="8">
        <v>44672</v>
      </c>
      <c r="T94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4" s="8" t="s">
        <v>50</v>
      </c>
    </row>
    <row r="95" spans="1:27" x14ac:dyDescent="0.2">
      <c r="A95" s="9">
        <v>1</v>
      </c>
      <c r="B95" s="2" t="str">
        <f>"+55 (42) 98972-4498"</f>
        <v>+55 (42) 98972-4498</v>
      </c>
      <c r="C95" s="1" t="str">
        <f>"0x28 0x29 0x71 0x8F 0x0D 0xE6 0xEB 0x8F"</f>
        <v>0x28 0x29 0x71 0x8F 0x0D 0xE6 0xEB 0x8F</v>
      </c>
      <c r="D95" s="1" t="str">
        <f>"0x30 0xEC 0xD5 0x48 0x23 0x2F"</f>
        <v>0x30 0xEC 0xD5 0x48 0x23 0x2F</v>
      </c>
      <c r="E95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5" s="8">
        <v>44650</v>
      </c>
      <c r="G95" s="8">
        <v>44662</v>
      </c>
      <c r="H95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12</v>
      </c>
      <c r="I95" s="1"/>
      <c r="J95" s="8">
        <v>44662</v>
      </c>
      <c r="K95" s="8">
        <v>44663</v>
      </c>
      <c r="L95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95" s="1"/>
      <c r="N95" s="8">
        <v>44664</v>
      </c>
      <c r="O95" s="8">
        <v>44666</v>
      </c>
      <c r="P95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95" s="1"/>
      <c r="R95" s="8">
        <v>44669</v>
      </c>
      <c r="S95" s="8">
        <v>44672</v>
      </c>
      <c r="T95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5" s="8" t="s">
        <v>49</v>
      </c>
    </row>
    <row r="96" spans="1:27" x14ac:dyDescent="0.2">
      <c r="A96" s="9">
        <v>1</v>
      </c>
      <c r="B96" s="2" t="str">
        <f>"+55 (49) 98448-4385"</f>
        <v>+55 (49) 98448-4385</v>
      </c>
      <c r="C96" s="1" t="str">
        <f>"0x28 0x3D 0x74 0xC1 0x40 0x28 0xD6 0x29"</f>
        <v>0x28 0x3D 0x74 0xC1 0x40 0x28 0xD6 0x29</v>
      </c>
      <c r="D96" s="1" t="str">
        <f>"0x30 0x1A 0x9C 0x7D 0x0D 0x25"</f>
        <v>0x30 0x1A 0x9C 0x7D 0x0D 0x25</v>
      </c>
      <c r="E96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6" s="8">
        <v>44650</v>
      </c>
      <c r="G96" s="8">
        <v>44662</v>
      </c>
      <c r="H96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12</v>
      </c>
      <c r="I96" s="1"/>
      <c r="J96" s="8">
        <v>44662</v>
      </c>
      <c r="K96" s="8">
        <v>44662</v>
      </c>
      <c r="L96" s="17" t="str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/>
      </c>
      <c r="M96" s="1"/>
      <c r="N96" s="8">
        <v>44662</v>
      </c>
      <c r="O96" s="8">
        <v>44664</v>
      </c>
      <c r="P96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96" s="1"/>
      <c r="R96" s="8">
        <v>44669</v>
      </c>
      <c r="S96" s="8">
        <v>44672</v>
      </c>
      <c r="T96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6" s="8" t="s">
        <v>50</v>
      </c>
    </row>
    <row r="97" spans="1:22" x14ac:dyDescent="0.2">
      <c r="A97" s="9">
        <v>1</v>
      </c>
      <c r="B97" s="2" t="str">
        <f>"+55 (51) 99809-7460"</f>
        <v>+55 (51) 99809-7460</v>
      </c>
      <c r="C97" s="1" t="str">
        <f>"0x28 0x24 0x54 0xBB 0x18 0x39 0xBA 0xEE"</f>
        <v>0x28 0x24 0x54 0xBB 0x18 0x39 0xBA 0xEE</v>
      </c>
      <c r="D97" s="1" t="str">
        <f>"0x30 0x28 0x4D 0xA7 0x85 0x41"</f>
        <v>0x30 0x28 0x4D 0xA7 0x85 0x41</v>
      </c>
      <c r="E97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7" s="8">
        <v>44650</v>
      </c>
      <c r="G97" s="8">
        <v>44659</v>
      </c>
      <c r="H97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97" s="1"/>
      <c r="J97" s="8">
        <v>44662</v>
      </c>
      <c r="K97" s="8">
        <v>44663</v>
      </c>
      <c r="L97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97" s="1"/>
      <c r="N97" s="8">
        <v>44664</v>
      </c>
      <c r="O97" s="8">
        <v>44665</v>
      </c>
      <c r="P97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1</v>
      </c>
      <c r="Q97" s="1"/>
      <c r="R97" s="8">
        <v>44669</v>
      </c>
      <c r="S97" s="8">
        <v>44672</v>
      </c>
      <c r="T97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7" s="8" t="s">
        <v>50</v>
      </c>
    </row>
    <row r="98" spans="1:22" x14ac:dyDescent="0.2">
      <c r="A98" s="9">
        <v>1</v>
      </c>
      <c r="B98" s="2" t="str">
        <f>"+55 (54) 98773-8831"</f>
        <v>+55 (54) 98773-8831</v>
      </c>
      <c r="C98" s="1" t="str">
        <f>"0x28 0xDB 0x56 0x43 0x3A 0x65 0x74 0x2D"</f>
        <v>0x28 0xDB 0x56 0x43 0x3A 0x65 0x74 0x2D</v>
      </c>
      <c r="D98" s="1" t="str">
        <f>"0x30 0x0D 0x4B 0x29 0x8F 0x0D"</f>
        <v>0x30 0x0D 0x4B 0x29 0x8F 0x0D</v>
      </c>
      <c r="E98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8" s="8">
        <v>44650</v>
      </c>
      <c r="G98" s="8">
        <v>44659</v>
      </c>
      <c r="H98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98" s="1"/>
      <c r="J98" s="8">
        <v>44659</v>
      </c>
      <c r="K98" s="8">
        <v>44663</v>
      </c>
      <c r="L98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4</v>
      </c>
      <c r="M98" s="1"/>
      <c r="N98" s="8">
        <v>44663</v>
      </c>
      <c r="O98" s="8">
        <v>44664</v>
      </c>
      <c r="P98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1</v>
      </c>
      <c r="Q98" s="1"/>
      <c r="R98" s="8">
        <v>44669</v>
      </c>
      <c r="S98" s="8">
        <v>44672</v>
      </c>
      <c r="T98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8" s="8" t="s">
        <v>50</v>
      </c>
    </row>
    <row r="99" spans="1:22" x14ac:dyDescent="0.2">
      <c r="A99" s="9">
        <v>1</v>
      </c>
      <c r="B99" s="2" t="str">
        <f>"+55 (61) 98796-7566"</f>
        <v>+55 (61) 98796-7566</v>
      </c>
      <c r="C99" s="1" t="str">
        <f>"0x28 0x46 0xED 0xDF 0x7B 0x55 0x97 0xF5"</f>
        <v>0x28 0x46 0xED 0xDF 0x7B 0x55 0x97 0xF5</v>
      </c>
      <c r="D99" s="1" t="str">
        <f>"0x30 0x16 0x49 0xA3 0x3E 0x80"</f>
        <v>0x30 0x16 0x49 0xA3 0x3E 0x80</v>
      </c>
      <c r="E99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99" s="8">
        <v>44650</v>
      </c>
      <c r="G99" s="8">
        <v>44662</v>
      </c>
      <c r="H99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12</v>
      </c>
      <c r="I99" s="1"/>
      <c r="J99" s="8">
        <v>44662</v>
      </c>
      <c r="K99" s="8">
        <v>44663</v>
      </c>
      <c r="L99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99" s="1"/>
      <c r="N99" s="8">
        <v>44665</v>
      </c>
      <c r="O99" s="8">
        <v>44666</v>
      </c>
      <c r="P99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1</v>
      </c>
      <c r="Q99" s="1"/>
      <c r="R99" s="8">
        <v>44669</v>
      </c>
      <c r="S99" s="8">
        <v>44672</v>
      </c>
      <c r="T99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99" s="8" t="s">
        <v>50</v>
      </c>
    </row>
    <row r="100" spans="1:22" x14ac:dyDescent="0.2">
      <c r="A100" s="9">
        <v>1</v>
      </c>
      <c r="B100" s="2" t="str">
        <f>"+55 (64) 98683-9905"</f>
        <v>+55 (64) 98683-9905</v>
      </c>
      <c r="C100" s="1" t="str">
        <f>"0x28 0x66 0xB0 0xF8 0xA4 0x97 0xF1 0xCC"</f>
        <v>0x28 0x66 0xB0 0xF8 0xA4 0x97 0xF1 0xCC</v>
      </c>
      <c r="D100" s="1" t="str">
        <f>"0x30 0xC1 0x9E 0xAA 0x03 0x90"</f>
        <v>0x30 0xC1 0x9E 0xAA 0x03 0x90</v>
      </c>
      <c r="E100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100" s="8">
        <v>44650</v>
      </c>
      <c r="G100" s="8">
        <v>44659</v>
      </c>
      <c r="H100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9</v>
      </c>
      <c r="I100" s="1"/>
      <c r="J100" s="8">
        <v>44662</v>
      </c>
      <c r="K100" s="8">
        <v>44663</v>
      </c>
      <c r="L100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100" s="1"/>
      <c r="N100" s="8">
        <v>44664</v>
      </c>
      <c r="O100" s="8">
        <v>44666</v>
      </c>
      <c r="P100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2</v>
      </c>
      <c r="Q100" s="1"/>
      <c r="R100" s="8">
        <v>44669</v>
      </c>
      <c r="S100" s="8">
        <v>44672</v>
      </c>
      <c r="T100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100" s="8" t="s">
        <v>49</v>
      </c>
    </row>
    <row r="101" spans="1:22" x14ac:dyDescent="0.2">
      <c r="A101" s="9">
        <v>1</v>
      </c>
      <c r="B101" s="2" t="str">
        <f>"+55 (83) 98288-4041"</f>
        <v>+55 (83) 98288-4041</v>
      </c>
      <c r="C101" s="1" t="str">
        <f>"0x28 0x3F 0xF6 0x0C 0x96 0xDF 0x78 0xA4"</f>
        <v>0x28 0x3F 0xF6 0x0C 0x96 0xDF 0x78 0xA4</v>
      </c>
      <c r="D101" s="1" t="str">
        <f>"0x30 0x84 0x75 0x4E 0x1E 0xCB"</f>
        <v>0x30 0x84 0x75 0x4E 0x1E 0xCB</v>
      </c>
      <c r="E101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101" s="8">
        <v>44650</v>
      </c>
      <c r="G101" s="8">
        <v>44662</v>
      </c>
      <c r="H101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12</v>
      </c>
      <c r="I101" s="1"/>
      <c r="J101" s="8">
        <v>44663</v>
      </c>
      <c r="K101" s="8">
        <v>44664</v>
      </c>
      <c r="L101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101" s="1"/>
      <c r="N101" s="8">
        <v>44665</v>
      </c>
      <c r="O101" s="8">
        <v>44669</v>
      </c>
      <c r="P101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4</v>
      </c>
      <c r="Q101" s="1"/>
      <c r="R101" s="8">
        <v>44669</v>
      </c>
      <c r="S101" s="8">
        <v>44672</v>
      </c>
      <c r="T101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101" s="8" t="s">
        <v>49</v>
      </c>
    </row>
    <row r="102" spans="1:22" x14ac:dyDescent="0.2">
      <c r="A102" s="9">
        <v>1</v>
      </c>
      <c r="B102" s="2" t="str">
        <f>"+55 (82) 99908-6137"</f>
        <v>+55 (82) 99908-6137</v>
      </c>
      <c r="C102" s="1" t="str">
        <f>"0x28 0x49 0x09 0x7F 0x3F 0x6C 0x9C 0xE3"</f>
        <v>0x28 0x49 0x09 0x7F 0x3F 0x6C 0x9C 0xE3</v>
      </c>
      <c r="D102" s="1" t="str">
        <f>"0x30 0x3C 0x65 0xE1 0xB7 0x91"</f>
        <v>0x30 0x3C 0x65 0xE1 0xB7 0x91</v>
      </c>
      <c r="E102" s="2" t="str">
        <f ca="1">IF(Tabela1[[#This Row],[1. Start Date]]&gt;=TODAY(), "0. Production Not Started", IF(ISBLANK(Tabela1[[#This Row],[1. End Date]]), "1.1 Assembling Hardware", IF(ISBLANK(Tabela1[[#This Row],[2. Start Date]]), "1.2 Hardware Assembled", IF(ISBLANK(Tabela1[[#This Row],[2. End Date]]), "2.1 Uploading Firmware", IF(ISBLANK(Tabela1[[#This Row],[3. Start Date]]), "2.2 Firmware Uploaded", IF(ISBLANK(Tabela1[[#This Row],[3. End Date]]), "3.1 Assembling Box", IF(ISBLANK(Tabela1[[#This Row],[4. Start Date]]), "3.2 Box Assembled", IF(ISBLANK(Tabela1[[#This Row],[4. End Date]]), "4.1 Shipped", "4.2 Delivered"))))))))</f>
        <v>4.2 Delivered</v>
      </c>
      <c r="F102" s="8">
        <v>44651</v>
      </c>
      <c r="G102" s="8">
        <v>44662</v>
      </c>
      <c r="H102" s="17">
        <f>IF(ISBLANK(Tabela1[[#This Row],[1. Start Date]]), "", IF(ISBLANK(Tabela1[[#This Row],[1. End Date]]), "", IF(Tabela1[[#This Row],[1. End Date]]-Tabela1[[#This Row],[1. Start Date]]&gt;0, Tabela1[[#This Row],[1. End Date]]-Tabela1[[#This Row],[1. Start Date]], "")))</f>
        <v>11</v>
      </c>
      <c r="I102" s="1"/>
      <c r="J102" s="8">
        <v>44663</v>
      </c>
      <c r="K102" s="8">
        <v>44664</v>
      </c>
      <c r="L102" s="17">
        <f>IF(ISBLANK(Tabela1[[#This Row],[2. Start Date]]), "", IF(ISBLANK(Tabela1[[#This Row],[2. End Date]]), "", IF(Tabela1[[#This Row],[2. End Date]]-Tabela1[[#This Row],[2. Start Date]]&gt;0, Tabela1[[#This Row],[2. End Date]]-Tabela1[[#This Row],[2. Start Date]], "")))</f>
        <v>1</v>
      </c>
      <c r="M102" s="1"/>
      <c r="N102" s="8">
        <v>44665</v>
      </c>
      <c r="O102" s="8">
        <v>44669</v>
      </c>
      <c r="P102" s="17">
        <f>IF(ISBLANK(Tabela1[[#This Row],[3. Start Date]]), "", IF(ISBLANK(Tabela1[[#This Row],[3. End Date]]), "", IF(Tabela1[[#This Row],[3. End Date]]-Tabela1[[#This Row],[3. Start Date]]&gt;0, Tabela1[[#This Row],[3. End Date]]-Tabela1[[#This Row],[3. Start Date]], "")))</f>
        <v>4</v>
      </c>
      <c r="Q102" s="1"/>
      <c r="R102" s="8">
        <v>44669</v>
      </c>
      <c r="S102" s="8">
        <v>44672</v>
      </c>
      <c r="T102" s="17">
        <f>IF(ISBLANK(Tabela1[[#This Row],[4. Start Date]]), "", IF(ISBLANK(Tabela1[[#This Row],[4. End Date]]), "", IF(Tabela1[[#This Row],[4. End Date]]-Tabela1[[#This Row],[4. Start Date]]&gt;0, Tabela1[[#This Row],[4. End Date]]-Tabela1[[#This Row],[4. Start Date]], "")))</f>
        <v>3</v>
      </c>
      <c r="V102" s="8" t="s">
        <v>50</v>
      </c>
    </row>
  </sheetData>
  <mergeCells count="5">
    <mergeCell ref="N1:Q1"/>
    <mergeCell ref="R1:U1"/>
    <mergeCell ref="A1:E1"/>
    <mergeCell ref="F1:I1"/>
    <mergeCell ref="J1:M1"/>
  </mergeCells>
  <dataValidations count="4">
    <dataValidation type="list" allowBlank="1" showInputMessage="1" showErrorMessage="1" sqref="I3:I102" xr:uid="{5A5C0772-9655-144D-BC0B-ED36B741DE08}">
      <formula1>"Missing Team, Missing Parts, Faulty Chip, Faulty Sensor, Faulty Module,"</formula1>
    </dataValidation>
    <dataValidation type="list" allowBlank="1" showInputMessage="1" showErrorMessage="1" sqref="M3:M102" xr:uid="{833027AB-1ACD-8A43-AB49-E345A2D9E0B3}">
      <formula1>"Missing Team, Faulty Hardware, Bug Found,"</formula1>
    </dataValidation>
    <dataValidation type="list" allowBlank="1" showInputMessage="1" showErrorMessage="1" sqref="Q3:Q102" xr:uid="{16D64265-7639-7F41-84A1-F0D7879BC963}">
      <formula1>"Missing Team, Missing Parts, Wrong Fit, Faulty Box,"</formula1>
    </dataValidation>
    <dataValidation type="list" allowBlank="1" showInputMessage="1" showErrorMessage="1" sqref="U3:U102" xr:uid="{0E16D05F-1935-094C-87BD-47BCC5CF2936}">
      <formula1>"Missing Team, Missing Parts,"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Generate Status">
              <controlPr defaultSize="0" print="0" autoFill="0" autoPict="0" macro="[0]!BTN" altText="Generate Board Status">
                <anchor moveWithCells="1" sizeWithCells="1">
                  <from>
                    <xdr:col>22</xdr:col>
                    <xdr:colOff>279400</xdr:colOff>
                    <xdr:row>0</xdr:row>
                    <xdr:rowOff>38100</xdr:rowOff>
                  </from>
                  <to>
                    <xdr:col>23</xdr:col>
                    <xdr:colOff>558800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70865-C6AC-8A42-942A-34B1B2112462}">
  <sheetPr codeName="Planilha2"/>
  <dimension ref="A1:O52"/>
  <sheetViews>
    <sheetView workbookViewId="0">
      <selection activeCell="P12" sqref="P12"/>
    </sheetView>
  </sheetViews>
  <sheetFormatPr baseColWidth="10" defaultRowHeight="16" x14ac:dyDescent="0.2"/>
  <cols>
    <col min="1" max="1" width="35.83203125" customWidth="1"/>
    <col min="2" max="5" width="15.83203125" customWidth="1"/>
    <col min="6" max="7" width="18.83203125" customWidth="1"/>
    <col min="8" max="8" width="5.83203125" customWidth="1"/>
    <col min="9" max="11" width="18.83203125" customWidth="1"/>
    <col min="12" max="12" width="5.83203125" customWidth="1"/>
    <col min="13" max="15" width="18.83203125" customWidth="1"/>
    <col min="16" max="16" width="15.83203125" customWidth="1"/>
    <col min="17" max="93" width="18.33203125" bestFit="1" customWidth="1"/>
    <col min="94" max="94" width="10.33203125" bestFit="1" customWidth="1"/>
  </cols>
  <sheetData>
    <row r="1" spans="1:15" ht="26" x14ac:dyDescent="0.2">
      <c r="A1" s="30" t="s">
        <v>43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3" spans="1:15" x14ac:dyDescent="0.2">
      <c r="A3" s="23"/>
      <c r="B3" s="12" t="s">
        <v>22</v>
      </c>
      <c r="C3" s="23"/>
      <c r="D3" s="23"/>
      <c r="E3" s="23"/>
      <c r="F3" s="23"/>
      <c r="G3" s="23"/>
      <c r="I3" s="12" t="s">
        <v>43</v>
      </c>
      <c r="J3" s="23" t="s">
        <v>41</v>
      </c>
      <c r="K3" s="23" t="s">
        <v>42</v>
      </c>
    </row>
    <row r="4" spans="1:15" x14ac:dyDescent="0.2">
      <c r="A4" s="23"/>
      <c r="B4" s="34" t="s">
        <v>50</v>
      </c>
      <c r="C4" s="35"/>
      <c r="D4" s="34" t="s">
        <v>49</v>
      </c>
      <c r="E4" s="35"/>
      <c r="F4" s="34" t="s">
        <v>59</v>
      </c>
      <c r="G4" s="34" t="s">
        <v>60</v>
      </c>
      <c r="I4" s="13" t="s">
        <v>44</v>
      </c>
      <c r="J4" s="14">
        <v>40</v>
      </c>
      <c r="K4" s="16">
        <v>0.4</v>
      </c>
    </row>
    <row r="5" spans="1:15" x14ac:dyDescent="0.2">
      <c r="A5" s="12" t="s">
        <v>3</v>
      </c>
      <c r="B5" s="22" t="s">
        <v>41</v>
      </c>
      <c r="C5" s="22" t="s">
        <v>42</v>
      </c>
      <c r="D5" s="22" t="s">
        <v>41</v>
      </c>
      <c r="E5" s="22" t="s">
        <v>42</v>
      </c>
      <c r="F5" s="35"/>
      <c r="G5" s="35"/>
      <c r="I5" s="13" t="s">
        <v>45</v>
      </c>
      <c r="J5" s="14">
        <v>19</v>
      </c>
      <c r="K5" s="16">
        <v>0.19</v>
      </c>
    </row>
    <row r="6" spans="1:15" x14ac:dyDescent="0.2">
      <c r="A6" s="13" t="s">
        <v>44</v>
      </c>
      <c r="B6" s="14">
        <v>40</v>
      </c>
      <c r="C6" s="16">
        <v>0.4</v>
      </c>
      <c r="D6" s="14">
        <v>0</v>
      </c>
      <c r="E6" s="16">
        <v>0</v>
      </c>
      <c r="F6" s="14">
        <v>40</v>
      </c>
      <c r="G6" s="16">
        <v>0.4</v>
      </c>
      <c r="I6" s="13" t="s">
        <v>46</v>
      </c>
      <c r="J6" s="14">
        <v>3</v>
      </c>
      <c r="K6" s="16">
        <v>0.03</v>
      </c>
    </row>
    <row r="7" spans="1:15" x14ac:dyDescent="0.2">
      <c r="A7" s="15" t="s">
        <v>31</v>
      </c>
      <c r="B7" s="14">
        <v>40</v>
      </c>
      <c r="C7" s="16">
        <v>0.4</v>
      </c>
      <c r="D7" s="14">
        <v>0</v>
      </c>
      <c r="E7" s="16">
        <v>0</v>
      </c>
      <c r="F7" s="14">
        <v>40</v>
      </c>
      <c r="G7" s="16">
        <v>0.4</v>
      </c>
      <c r="I7" s="13" t="s">
        <v>47</v>
      </c>
      <c r="J7" s="14">
        <v>10</v>
      </c>
      <c r="K7" s="16">
        <v>0.1</v>
      </c>
    </row>
    <row r="8" spans="1:15" x14ac:dyDescent="0.2">
      <c r="A8" s="23"/>
      <c r="B8" s="14"/>
      <c r="C8" s="16"/>
      <c r="D8" s="14"/>
      <c r="E8" s="16"/>
      <c r="F8" s="14"/>
      <c r="G8" s="16"/>
      <c r="I8" s="13" t="s">
        <v>48</v>
      </c>
      <c r="J8" s="14">
        <v>28</v>
      </c>
      <c r="K8" s="16">
        <v>0.28000000000000003</v>
      </c>
    </row>
    <row r="9" spans="1:15" x14ac:dyDescent="0.2">
      <c r="A9" s="13" t="s">
        <v>45</v>
      </c>
      <c r="B9" s="14">
        <v>19</v>
      </c>
      <c r="C9" s="16">
        <v>0.19</v>
      </c>
      <c r="D9" s="14">
        <v>0</v>
      </c>
      <c r="E9" s="16">
        <v>0</v>
      </c>
      <c r="F9" s="14">
        <v>19</v>
      </c>
      <c r="G9" s="16">
        <v>0.19</v>
      </c>
      <c r="I9" s="23" t="s">
        <v>32</v>
      </c>
      <c r="J9" s="14">
        <v>100</v>
      </c>
      <c r="K9" s="16">
        <v>1</v>
      </c>
    </row>
    <row r="10" spans="1:15" x14ac:dyDescent="0.2">
      <c r="A10" s="15" t="s">
        <v>33</v>
      </c>
      <c r="B10" s="14">
        <v>12</v>
      </c>
      <c r="C10" s="16">
        <v>0.12</v>
      </c>
      <c r="D10" s="14">
        <v>0</v>
      </c>
      <c r="E10" s="16">
        <v>0</v>
      </c>
      <c r="F10" s="14">
        <v>12</v>
      </c>
      <c r="G10" s="16">
        <v>0.12</v>
      </c>
    </row>
    <row r="11" spans="1:15" x14ac:dyDescent="0.2">
      <c r="A11" s="15" t="s">
        <v>34</v>
      </c>
      <c r="B11" s="14">
        <v>7</v>
      </c>
      <c r="C11" s="16">
        <v>7.0000000000000007E-2</v>
      </c>
      <c r="D11" s="14">
        <v>0</v>
      </c>
      <c r="E11" s="16">
        <v>0</v>
      </c>
      <c r="F11" s="14">
        <v>7</v>
      </c>
      <c r="G11" s="16">
        <v>7.0000000000000007E-2</v>
      </c>
    </row>
    <row r="12" spans="1:15" x14ac:dyDescent="0.2">
      <c r="A12" s="23"/>
      <c r="B12" s="14"/>
      <c r="C12" s="16"/>
      <c r="D12" s="14"/>
      <c r="E12" s="16"/>
      <c r="F12" s="14"/>
      <c r="G12" s="16"/>
    </row>
    <row r="13" spans="1:15" x14ac:dyDescent="0.2">
      <c r="A13" s="13" t="s">
        <v>46</v>
      </c>
      <c r="B13" s="14">
        <v>3</v>
      </c>
      <c r="C13" s="16">
        <v>0.03</v>
      </c>
      <c r="D13" s="14">
        <v>0</v>
      </c>
      <c r="E13" s="16">
        <v>0</v>
      </c>
      <c r="F13" s="14">
        <v>3</v>
      </c>
      <c r="G13" s="16">
        <v>0.03</v>
      </c>
      <c r="M13" s="12" t="s">
        <v>3</v>
      </c>
      <c r="N13" s="23" t="s">
        <v>32</v>
      </c>
    </row>
    <row r="14" spans="1:15" x14ac:dyDescent="0.2">
      <c r="A14" s="15" t="s">
        <v>39</v>
      </c>
      <c r="B14" s="14">
        <v>2</v>
      </c>
      <c r="C14" s="16">
        <v>0.02</v>
      </c>
      <c r="D14" s="14">
        <v>0</v>
      </c>
      <c r="E14" s="16">
        <v>0</v>
      </c>
      <c r="F14" s="14">
        <v>2</v>
      </c>
      <c r="G14" s="16">
        <v>0.02</v>
      </c>
      <c r="M14" s="23" t="s">
        <v>49</v>
      </c>
      <c r="N14" s="14">
        <v>11</v>
      </c>
    </row>
    <row r="15" spans="1:15" x14ac:dyDescent="0.2">
      <c r="A15" s="15" t="s">
        <v>35</v>
      </c>
      <c r="B15" s="14">
        <v>1</v>
      </c>
      <c r="C15" s="16">
        <v>0.01</v>
      </c>
      <c r="D15" s="14">
        <v>0</v>
      </c>
      <c r="E15" s="16">
        <v>0</v>
      </c>
      <c r="F15" s="14">
        <v>1</v>
      </c>
      <c r="G15" s="16">
        <v>0.01</v>
      </c>
      <c r="M15" s="23" t="s">
        <v>50</v>
      </c>
      <c r="N15" s="14">
        <v>89</v>
      </c>
    </row>
    <row r="16" spans="1:15" x14ac:dyDescent="0.2">
      <c r="A16" s="23"/>
      <c r="B16" s="14"/>
      <c r="C16" s="16"/>
      <c r="D16" s="14"/>
      <c r="E16" s="16"/>
      <c r="F16" s="14"/>
      <c r="G16" s="16"/>
      <c r="M16" s="23" t="s">
        <v>32</v>
      </c>
      <c r="N16" s="14">
        <v>100</v>
      </c>
    </row>
    <row r="17" spans="1:15" x14ac:dyDescent="0.2">
      <c r="A17" s="13" t="s">
        <v>47</v>
      </c>
      <c r="B17" s="14">
        <v>10</v>
      </c>
      <c r="C17" s="16">
        <v>0.1</v>
      </c>
      <c r="D17" s="14">
        <v>0</v>
      </c>
      <c r="E17" s="16">
        <v>0</v>
      </c>
      <c r="F17" s="14">
        <v>10</v>
      </c>
      <c r="G17" s="16">
        <v>0.1</v>
      </c>
    </row>
    <row r="18" spans="1:15" x14ac:dyDescent="0.2">
      <c r="A18" s="15" t="s">
        <v>36</v>
      </c>
      <c r="B18" s="14">
        <v>9</v>
      </c>
      <c r="C18" s="16">
        <v>0.09</v>
      </c>
      <c r="D18" s="14">
        <v>0</v>
      </c>
      <c r="E18" s="16">
        <v>0</v>
      </c>
      <c r="F18" s="14">
        <v>9</v>
      </c>
      <c r="G18" s="16">
        <v>0.09</v>
      </c>
    </row>
    <row r="19" spans="1:15" x14ac:dyDescent="0.2">
      <c r="A19" s="15" t="s">
        <v>40</v>
      </c>
      <c r="B19" s="14">
        <v>1</v>
      </c>
      <c r="C19" s="16">
        <v>0.01</v>
      </c>
      <c r="D19" s="14">
        <v>0</v>
      </c>
      <c r="E19" s="16">
        <v>0</v>
      </c>
      <c r="F19" s="14">
        <v>1</v>
      </c>
      <c r="G19" s="16">
        <v>0.01</v>
      </c>
    </row>
    <row r="20" spans="1:15" x14ac:dyDescent="0.2">
      <c r="A20" s="23"/>
      <c r="B20" s="14"/>
      <c r="C20" s="16"/>
      <c r="D20" s="14"/>
      <c r="E20" s="16"/>
      <c r="F20" s="14"/>
      <c r="G20" s="16"/>
    </row>
    <row r="21" spans="1:15" x14ac:dyDescent="0.2">
      <c r="A21" s="13" t="s">
        <v>48</v>
      </c>
      <c r="B21" s="14">
        <v>17</v>
      </c>
      <c r="C21" s="16">
        <v>0.17</v>
      </c>
      <c r="D21" s="14">
        <v>11</v>
      </c>
      <c r="E21" s="16">
        <v>0.11</v>
      </c>
      <c r="F21" s="14">
        <v>28</v>
      </c>
      <c r="G21" s="16">
        <v>0.28000000000000003</v>
      </c>
    </row>
    <row r="22" spans="1:15" x14ac:dyDescent="0.2">
      <c r="A22" s="15" t="s">
        <v>38</v>
      </c>
      <c r="B22" s="14">
        <v>3</v>
      </c>
      <c r="C22" s="16">
        <v>0.03</v>
      </c>
      <c r="D22" s="14">
        <v>0</v>
      </c>
      <c r="E22" s="16">
        <v>0</v>
      </c>
      <c r="F22" s="14">
        <v>3</v>
      </c>
      <c r="G22" s="16">
        <v>0.03</v>
      </c>
    </row>
    <row r="23" spans="1:15" x14ac:dyDescent="0.2">
      <c r="A23" s="15" t="s">
        <v>37</v>
      </c>
      <c r="B23" s="14">
        <v>14</v>
      </c>
      <c r="C23" s="16">
        <v>0.14000000000000001</v>
      </c>
      <c r="D23" s="14">
        <v>11</v>
      </c>
      <c r="E23" s="16">
        <v>0.11</v>
      </c>
      <c r="F23" s="14">
        <v>25</v>
      </c>
      <c r="G23" s="16">
        <v>0.25</v>
      </c>
    </row>
    <row r="24" spans="1:15" x14ac:dyDescent="0.2">
      <c r="A24" s="23"/>
      <c r="B24" s="14"/>
      <c r="C24" s="16"/>
      <c r="D24" s="14"/>
      <c r="E24" s="16"/>
      <c r="F24" s="14"/>
      <c r="G24" s="16"/>
    </row>
    <row r="25" spans="1:15" x14ac:dyDescent="0.2">
      <c r="A25" s="23" t="s">
        <v>57</v>
      </c>
      <c r="B25" s="14">
        <v>89</v>
      </c>
      <c r="C25" s="16">
        <v>0.89</v>
      </c>
      <c r="D25" s="14">
        <v>11</v>
      </c>
      <c r="E25" s="16">
        <v>0.11</v>
      </c>
      <c r="F25" s="14">
        <v>100</v>
      </c>
      <c r="G25" s="16">
        <v>1</v>
      </c>
    </row>
    <row r="28" spans="1:15" ht="26" x14ac:dyDescent="0.2">
      <c r="A28" s="30" t="s">
        <v>51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</row>
    <row r="29" spans="1:15" x14ac:dyDescent="0.2">
      <c r="A29" s="33" t="s">
        <v>61</v>
      </c>
      <c r="B29" s="33"/>
      <c r="C29" s="33"/>
      <c r="D29" s="33"/>
      <c r="E29" s="33"/>
      <c r="I29" s="12" t="s">
        <v>67</v>
      </c>
      <c r="J29" s="23" t="s">
        <v>68</v>
      </c>
      <c r="M29" s="12" t="s">
        <v>65</v>
      </c>
      <c r="N29" s="23" t="s">
        <v>68</v>
      </c>
    </row>
    <row r="30" spans="1:15" x14ac:dyDescent="0.2">
      <c r="A30" s="21" t="s">
        <v>3</v>
      </c>
      <c r="B30" s="23" t="s">
        <v>63</v>
      </c>
      <c r="C30" s="23" t="s">
        <v>64</v>
      </c>
      <c r="D30" s="23" t="s">
        <v>65</v>
      </c>
      <c r="E30" s="23" t="s">
        <v>66</v>
      </c>
      <c r="I30" s="23" t="s">
        <v>24</v>
      </c>
      <c r="J30" s="16">
        <v>1.1363636363636364E-2</v>
      </c>
      <c r="M30" s="23" t="s">
        <v>29</v>
      </c>
      <c r="N30" s="16">
        <v>7.6923076923076927E-2</v>
      </c>
    </row>
    <row r="31" spans="1:15" x14ac:dyDescent="0.2">
      <c r="A31" s="21" t="s">
        <v>62</v>
      </c>
      <c r="B31" s="19">
        <v>9.2291666666666661</v>
      </c>
      <c r="C31" s="19">
        <v>1.4722222222222223</v>
      </c>
      <c r="D31" s="19">
        <v>2.5714285714285716</v>
      </c>
      <c r="E31" s="19">
        <v>3</v>
      </c>
      <c r="I31" s="23" t="s">
        <v>30</v>
      </c>
      <c r="J31" s="16">
        <v>1.1363636363636364E-2</v>
      </c>
      <c r="M31" s="23" t="s">
        <v>27</v>
      </c>
      <c r="N31" s="16">
        <v>2.197802197802198E-2</v>
      </c>
    </row>
    <row r="32" spans="1:15" x14ac:dyDescent="0.2">
      <c r="I32" s="23" t="s">
        <v>29</v>
      </c>
      <c r="J32" s="16">
        <v>1.1363636363636364E-2</v>
      </c>
      <c r="M32" s="23" t="s">
        <v>56</v>
      </c>
      <c r="N32" s="16">
        <v>1</v>
      </c>
    </row>
    <row r="33" spans="1:14" x14ac:dyDescent="0.2">
      <c r="I33" s="23" t="s">
        <v>28</v>
      </c>
      <c r="J33" s="16">
        <v>0.10227272727272728</v>
      </c>
      <c r="M33" s="23" t="s">
        <v>32</v>
      </c>
      <c r="N33" s="16"/>
    </row>
    <row r="34" spans="1:14" x14ac:dyDescent="0.2">
      <c r="A34" s="27" t="s">
        <v>3</v>
      </c>
      <c r="B34" t="s">
        <v>37</v>
      </c>
      <c r="I34" s="23" t="s">
        <v>56</v>
      </c>
      <c r="J34" s="16">
        <v>1</v>
      </c>
    </row>
    <row r="35" spans="1:14" x14ac:dyDescent="0.2">
      <c r="I35" s="23" t="s">
        <v>32</v>
      </c>
      <c r="J35" s="16"/>
    </row>
    <row r="36" spans="1:14" x14ac:dyDescent="0.2">
      <c r="A36" s="24" t="s">
        <v>70</v>
      </c>
    </row>
    <row r="37" spans="1:14" x14ac:dyDescent="0.2">
      <c r="A37" s="25" t="s">
        <v>85</v>
      </c>
    </row>
    <row r="38" spans="1:14" x14ac:dyDescent="0.2">
      <c r="A38" s="26" t="s">
        <v>72</v>
      </c>
    </row>
    <row r="39" spans="1:14" x14ac:dyDescent="0.2">
      <c r="A39" s="26" t="s">
        <v>82</v>
      </c>
    </row>
    <row r="40" spans="1:14" x14ac:dyDescent="0.2">
      <c r="A40" s="26" t="s">
        <v>74</v>
      </c>
    </row>
    <row r="41" spans="1:14" x14ac:dyDescent="0.2">
      <c r="A41" s="26" t="s">
        <v>73</v>
      </c>
    </row>
    <row r="42" spans="1:14" x14ac:dyDescent="0.2">
      <c r="A42" s="26" t="s">
        <v>71</v>
      </c>
    </row>
    <row r="43" spans="1:14" x14ac:dyDescent="0.2">
      <c r="A43" s="26" t="s">
        <v>78</v>
      </c>
    </row>
    <row r="44" spans="1:14" x14ac:dyDescent="0.2">
      <c r="A44" s="26" t="s">
        <v>75</v>
      </c>
    </row>
    <row r="45" spans="1:14" x14ac:dyDescent="0.2">
      <c r="A45" s="26" t="s">
        <v>81</v>
      </c>
      <c r="I45" s="12" t="s">
        <v>69</v>
      </c>
      <c r="J45" s="23" t="s">
        <v>58</v>
      </c>
      <c r="M45" s="12" t="s">
        <v>66</v>
      </c>
      <c r="N45" s="23" t="s">
        <v>68</v>
      </c>
    </row>
    <row r="46" spans="1:14" x14ac:dyDescent="0.2">
      <c r="A46" s="26" t="s">
        <v>76</v>
      </c>
      <c r="I46" s="23" t="s">
        <v>26</v>
      </c>
      <c r="J46" s="16">
        <v>1.1111111111111112E-2</v>
      </c>
      <c r="M46" s="23" t="s">
        <v>29</v>
      </c>
      <c r="N46" s="16">
        <v>3.0927835051546393E-2</v>
      </c>
    </row>
    <row r="47" spans="1:14" x14ac:dyDescent="0.2">
      <c r="A47" s="26" t="s">
        <v>80</v>
      </c>
      <c r="I47" s="23" t="s">
        <v>25</v>
      </c>
      <c r="J47" s="16">
        <v>2.2222222222222223E-2</v>
      </c>
      <c r="M47" s="23" t="s">
        <v>56</v>
      </c>
      <c r="N47" s="16">
        <v>1</v>
      </c>
    </row>
    <row r="48" spans="1:14" x14ac:dyDescent="0.2">
      <c r="A48" s="26" t="s">
        <v>84</v>
      </c>
      <c r="I48" s="23" t="s">
        <v>28</v>
      </c>
      <c r="J48" s="16">
        <v>7.7777777777777779E-2</v>
      </c>
      <c r="M48" s="23" t="s">
        <v>57</v>
      </c>
      <c r="N48" s="16"/>
    </row>
    <row r="49" spans="1:10" x14ac:dyDescent="0.2">
      <c r="A49" s="26" t="s">
        <v>83</v>
      </c>
      <c r="I49" s="23" t="s">
        <v>56</v>
      </c>
      <c r="J49" s="16">
        <v>1</v>
      </c>
    </row>
    <row r="50" spans="1:10" x14ac:dyDescent="0.2">
      <c r="A50" s="26" t="s">
        <v>79</v>
      </c>
      <c r="I50" s="23" t="s">
        <v>32</v>
      </c>
      <c r="J50" s="16"/>
    </row>
    <row r="51" spans="1:10" x14ac:dyDescent="0.2">
      <c r="A51" s="26" t="s">
        <v>77</v>
      </c>
    </row>
    <row r="52" spans="1:10" x14ac:dyDescent="0.2">
      <c r="A52" s="23" t="s">
        <v>57</v>
      </c>
    </row>
  </sheetData>
  <sortState xmlns:xlrd2="http://schemas.microsoft.com/office/spreadsheetml/2017/richdata2" ref="I3:J12">
    <sortCondition ref="I8"/>
  </sortState>
  <mergeCells count="7">
    <mergeCell ref="B4:C4"/>
    <mergeCell ref="D4:E4"/>
    <mergeCell ref="F4:F5"/>
    <mergeCell ref="G4:G5"/>
    <mergeCell ref="A29:E29"/>
    <mergeCell ref="A1:O1"/>
    <mergeCell ref="A28:O28"/>
  </mergeCells>
  <pageMargins left="0.511811024" right="0.511811024" top="0.78740157499999996" bottom="0.78740157499999996" header="0.31496062000000002" footer="0.31496062000000002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DATABASE</vt:lpstr>
      <vt:lpstr>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Leonardo</dc:creator>
  <cp:lastModifiedBy>Rafael Leonardo</cp:lastModifiedBy>
  <dcterms:created xsi:type="dcterms:W3CDTF">2022-04-19T03:22:55Z</dcterms:created>
  <dcterms:modified xsi:type="dcterms:W3CDTF">2022-04-20T02:04:38Z</dcterms:modified>
</cp:coreProperties>
</file>